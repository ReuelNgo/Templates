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-df.com/personal/reuelngo_microsoft_com/Documents/EDE/Assigned/GovTech/Agent Builder/Prompathon/Judges/"/>
    </mc:Choice>
  </mc:AlternateContent>
  <xr:revisionPtr revIDLastSave="323" documentId="8_{9E263AF8-B76C-488B-A24F-5D24940772C7}" xr6:coauthVersionLast="47" xr6:coauthVersionMax="47" xr10:uidLastSave="{B0E42AA4-5088-4743-B390-6A783622F6CF}"/>
  <bookViews>
    <workbookView xWindow="50985" yWindow="0" windowWidth="25815" windowHeight="20985" tabRatio="672" xr2:uid="{C7AB28C7-E909-4FB6-A292-C347D1278133}"/>
  </bookViews>
  <sheets>
    <sheet name="Results" sheetId="3" r:id="rId1"/>
    <sheet name="Judge1" sheetId="1" r:id="rId2"/>
    <sheet name="Judge2" sheetId="12" r:id="rId3"/>
    <sheet name="Judge3" sheetId="13" r:id="rId4"/>
    <sheet name="Judge4" sheetId="14" r:id="rId5"/>
    <sheet name="Judge5" sheetId="16" r:id="rId6"/>
    <sheet name="Completed Sample" sheetId="18" r:id="rId7"/>
    <sheet name="Config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3" l="1"/>
  <c r="D22" i="3"/>
  <c r="E22" i="3"/>
  <c r="F22" i="3"/>
  <c r="C21" i="3"/>
  <c r="D21" i="3"/>
  <c r="E21" i="3"/>
  <c r="F21" i="3"/>
  <c r="C20" i="3"/>
  <c r="D20" i="3"/>
  <c r="E20" i="3"/>
  <c r="F20" i="3"/>
  <c r="C19" i="3"/>
  <c r="D19" i="3"/>
  <c r="E19" i="3"/>
  <c r="F19" i="3"/>
  <c r="C18" i="3"/>
  <c r="D18" i="3"/>
  <c r="E18" i="3"/>
  <c r="F18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C3" i="3"/>
  <c r="K3" i="3" s="1"/>
  <c r="C4" i="3"/>
  <c r="K4" i="3" s="1"/>
  <c r="C5" i="3"/>
  <c r="K5" i="3" s="1"/>
  <c r="C6" i="3"/>
  <c r="K6" i="3" s="1"/>
  <c r="C7" i="3"/>
  <c r="K7" i="3" s="1"/>
  <c r="C8" i="3"/>
  <c r="K8" i="3" s="1"/>
  <c r="C9" i="3"/>
  <c r="K9" i="3" s="1"/>
  <c r="C10" i="3"/>
  <c r="K10" i="3" s="1"/>
  <c r="C11" i="3"/>
  <c r="K11" i="3" s="1"/>
  <c r="C12" i="3"/>
  <c r="C13" i="3"/>
  <c r="C14" i="3"/>
  <c r="K14" i="3" s="1"/>
  <c r="C15" i="3"/>
  <c r="K15" i="3" s="1"/>
  <c r="C16" i="3"/>
  <c r="C17" i="3"/>
  <c r="K17" i="3" s="1"/>
  <c r="K12" i="3" l="1"/>
  <c r="K16" i="3"/>
  <c r="K13" i="3"/>
  <c r="K22" i="3"/>
  <c r="K21" i="3"/>
  <c r="K20" i="3"/>
  <c r="K19" i="3"/>
  <c r="K18" i="3"/>
</calcChain>
</file>

<file path=xl/sharedStrings.xml><?xml version="1.0" encoding="utf-8"?>
<sst xmlns="http://schemas.openxmlformats.org/spreadsheetml/2006/main" count="82" uniqueCount="37">
  <si>
    <t>Highlights with Gold (1st), Silver (2nd) and Bronze (3rd)</t>
  </si>
  <si>
    <t>Team</t>
  </si>
  <si>
    <t>Enter Team Name</t>
  </si>
  <si>
    <t>Judge1</t>
  </si>
  <si>
    <t>Judge2</t>
  </si>
  <si>
    <t>Judge3</t>
  </si>
  <si>
    <t>Judge4</t>
  </si>
  <si>
    <t>Judge5</t>
  </si>
  <si>
    <t>Judge6</t>
  </si>
  <si>
    <t>Judge7</t>
  </si>
  <si>
    <t>Judge8</t>
  </si>
  <si>
    <t>Total</t>
  </si>
  <si>
    <t>Name</t>
  </si>
  <si>
    <t>Presentation</t>
  </si>
  <si>
    <t>Transformational Value</t>
  </si>
  <si>
    <t>Business Impact</t>
  </si>
  <si>
    <t>Adoption Potential</t>
  </si>
  <si>
    <t>Would you sponsor it?</t>
  </si>
  <si>
    <t>Number of Judges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</si>
  <si>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</si>
  <si>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</si>
  <si>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</si>
  <si>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</si>
  <si>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</si>
  <si>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</si>
  <si>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</si>
  <si>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</si>
  <si>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</si>
  <si>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</si>
  <si>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Team 11</t>
  </si>
  <si>
    <t>Team 12</t>
  </si>
  <si>
    <t>Team 13</t>
  </si>
  <si>
    <t>Team 14</t>
  </si>
  <si>
    <t>Team 15</t>
  </si>
  <si>
    <t>&lt;Judge Name&gt;</t>
  </si>
  <si>
    <t>John Smith</t>
  </si>
  <si>
    <t>Workflow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</si>
</sst>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1"/>
      <name val="Aptos Display"/>
      <family val="2"/>
      <scheme val="maj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 style="medium">
        <color theme="9"/>
      </bottom>
      <diagonal/>
    </border>
    <border>
      <left style="thin">
        <color theme="9"/>
      </left>
      <right/>
      <top/>
      <bottom style="medium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/>
      <bottom style="medium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0" borderId="6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" fillId="0" borderId="8" xfId="0" applyFont="1" applyFill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9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 style="thin">
          <color theme="9"/>
        </bottom>
      </border>
    </dxf>
    <dxf>
      <font>
        <color rgb="FF000000"/>
      </font>
      <fill>
        <patternFill patternType="solid">
          <fgColor indexed="64"/>
          <bgColor rgb="FFCD7F32"/>
        </patternFill>
      </fill>
    </dxf>
    <dxf>
      <font>
        <color rgb="FF000000"/>
      </font>
      <fill>
        <patternFill patternType="solid">
          <fgColor indexed="64"/>
          <bgColor rgb="FFC0C0C0"/>
        </patternFill>
      </fill>
    </dxf>
    <dxf>
      <font>
        <color rgb="FF000000"/>
      </font>
      <fill>
        <patternFill patternType="solid">
          <fgColor indexed="64"/>
          <bgColor rgb="FFFFD700"/>
        </patternFill>
      </fill>
    </dxf>
    <dxf>
      <font>
        <color rgb="FF000000"/>
      </font>
      <fill>
        <patternFill patternType="solid">
          <fgColor indexed="64"/>
          <bgColor rgb="FFCD7F32"/>
        </patternFill>
      </fill>
    </dxf>
    <dxf>
      <font>
        <color rgb="FF000000"/>
      </font>
      <fill>
        <patternFill patternType="solid">
          <fgColor indexed="64"/>
          <bgColor rgb="FFC0C0C0"/>
        </patternFill>
      </fill>
    </dxf>
    <dxf>
      <font>
        <color rgb="FF000000"/>
      </font>
      <fill>
        <patternFill patternType="solid">
          <fgColor indexed="64"/>
          <bgColor rgb="FFFFD700"/>
        </patternFill>
      </fill>
    </dxf>
    <dxf>
      <font>
        <color rgb="FF000000"/>
      </font>
      <fill>
        <patternFill patternType="solid">
          <fgColor indexed="64"/>
          <bgColor rgb="FFCD7F32"/>
        </patternFill>
      </fill>
    </dxf>
    <dxf>
      <font>
        <color rgb="FF000000"/>
      </font>
      <fill>
        <patternFill patternType="solid">
          <fgColor indexed="64"/>
          <bgColor rgb="FFC0C0C0"/>
        </patternFill>
      </fill>
    </dxf>
    <dxf>
      <font>
        <color rgb="FF000000"/>
      </font>
      <fill>
        <patternFill patternType="solid">
          <fgColor indexed="64"/>
          <bgColor rgb="FFFFD700"/>
        </patternFill>
      </fill>
    </dxf>
    <dxf>
      <font>
        <color rgb="FF000000"/>
      </font>
      <fill>
        <patternFill patternType="solid">
          <fgColor indexed="64"/>
          <bgColor rgb="FFCD7F32"/>
        </patternFill>
      </fill>
    </dxf>
    <dxf>
      <font>
        <color rgb="FF000000"/>
      </font>
      <fill>
        <patternFill patternType="solid">
          <fgColor indexed="64"/>
          <bgColor rgb="FFC0C0C0"/>
        </patternFill>
      </fill>
    </dxf>
    <dxf>
      <font>
        <color rgb="FF000000"/>
      </font>
      <fill>
        <patternFill patternType="solid">
          <fgColor indexed="64"/>
          <bgColor rgb="FFFFD700"/>
        </patternFill>
      </fill>
    </dxf>
    <dxf>
      <font>
        <color rgb="FF000000"/>
      </font>
      <fill>
        <patternFill patternType="solid">
          <fgColor indexed="64"/>
          <bgColor rgb="FFCD7F32"/>
        </patternFill>
      </fill>
    </dxf>
    <dxf>
      <font>
        <color rgb="FF000000"/>
      </font>
      <fill>
        <patternFill patternType="solid">
          <fgColor indexed="64"/>
          <bgColor rgb="FFC0C0C0"/>
        </patternFill>
      </fill>
    </dxf>
    <dxf>
      <font>
        <color rgb="FF000000"/>
      </font>
      <fill>
        <patternFill patternType="solid">
          <fgColor indexed="64"/>
          <bgColor rgb="FFFFD700"/>
        </patternFill>
      </fill>
    </dxf>
    <dxf>
      <font>
        <color rgb="FF000000"/>
      </font>
      <fill>
        <patternFill patternType="solid">
          <fgColor indexed="64"/>
          <bgColor rgb="FFCD7F32"/>
        </patternFill>
      </fill>
    </dxf>
    <dxf>
      <font>
        <color rgb="FF000000"/>
      </font>
      <fill>
        <patternFill patternType="solid">
          <fgColor indexed="64"/>
          <bgColor rgb="FFC0C0C0"/>
        </patternFill>
      </fill>
    </dxf>
    <dxf>
      <font>
        <color rgb="FF000000"/>
      </font>
      <fill>
        <patternFill patternType="solid">
          <fgColor indexed="64"/>
          <bgColor rgb="FFFFD700"/>
        </patternFill>
      </fill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 style="thin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 style="thin">
          <color theme="9"/>
        </bottom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z val="1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219075</xdr:rowOff>
    </xdr:from>
    <xdr:to>
      <xdr:col>10</xdr:col>
      <xdr:colOff>496595</xdr:colOff>
      <xdr:row>37</xdr:row>
      <xdr:rowOff>38041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908BC3-03B6-4AF8-A94C-7A514F17B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81750"/>
          <a:ext cx="8859545" cy="38194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1</xdr:rowOff>
    </xdr:from>
    <xdr:to>
      <xdr:col>10</xdr:col>
      <xdr:colOff>494110</xdr:colOff>
      <xdr:row>37</xdr:row>
      <xdr:rowOff>108858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6DF7CC-493B-4889-9645-FAA7EB8EF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94175"/>
          <a:ext cx="8859545" cy="38194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249115</xdr:rowOff>
    </xdr:from>
    <xdr:to>
      <xdr:col>10</xdr:col>
      <xdr:colOff>499526</xdr:colOff>
      <xdr:row>37</xdr:row>
      <xdr:rowOff>112043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F687F4-6D82-42D4-A1BA-A73B13461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52442"/>
          <a:ext cx="8859545" cy="381946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256442</xdr:rowOff>
    </xdr:from>
    <xdr:to>
      <xdr:col>10</xdr:col>
      <xdr:colOff>499526</xdr:colOff>
      <xdr:row>37</xdr:row>
      <xdr:rowOff>119370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3B296C-7C0A-4E68-BA2F-073F50BBD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59769"/>
          <a:ext cx="8859545" cy="38194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234462</xdr:rowOff>
    </xdr:from>
    <xdr:to>
      <xdr:col>10</xdr:col>
      <xdr:colOff>499526</xdr:colOff>
      <xdr:row>37</xdr:row>
      <xdr:rowOff>97390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25D7A8-C74E-40FE-884B-81E34BE31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37789"/>
          <a:ext cx="8859545" cy="381946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B2FED6-17D4-4787-8CFC-4B675DC4E738}" name="Table2" displayName="Table2" ref="A2:K22" totalsRowShown="0" headerRowDxfId="83" dataDxfId="81" headerRowBorderDxfId="82" tableBorderDxfId="80" totalsRowBorderDxfId="79">
  <autoFilter ref="A2:K22" xr:uid="{A6B2FED6-17D4-4787-8CFC-4B675DC4E738}"/>
  <tableColumns count="11">
    <tableColumn id="1" xr3:uid="{6EBDAADD-447B-419A-BBD1-C96552EA4088}" name="Team" dataDxfId="78"/>
    <tableColumn id="11" xr3:uid="{CB73178A-D870-4B19-AEA0-12AB14C7A0FF}" name="Enter Team Name" dataDxfId="77"/>
    <tableColumn id="8" xr3:uid="{75121E61-520D-4249-B527-B25EFD9D0772}" name="Judge1" dataDxfId="76">
      <calculatedColumnFormula>SUM(_xlfn.XLOOKUP(Table2[[#This Row],[Team]],Judge1[Team],Judge1[Transformational Value]):_xlfn.XLOOKUP(Table2[[#This Row],[Team]],Judge1[Team],Judge1[Would you sponsor it?]))</calculatedColumnFormula>
    </tableColumn>
    <tableColumn id="7" xr3:uid="{2BD12706-B29C-4787-BFAC-A87C59639093}" name="Judge2" dataDxfId="75">
      <calculatedColumnFormula>SUM(_xlfn.XLOOKUP(Table2[[#This Row],[Team]],Judge2[Team],Judge2[Transformational Value]):_xlfn.XLOOKUP(Table2[[#This Row],[Team]],Judge2[Team],Judge2[Would you sponsor it?]))</calculatedColumnFormula>
    </tableColumn>
    <tableColumn id="6" xr3:uid="{BCBCF651-1965-46A2-9663-A1C61A8698FD}" name="Judge3" dataDxfId="74">
      <calculatedColumnFormula>SUM(_xlfn.XLOOKUP(Table2[[#This Row],[Team]],Judge3[Team],Judge3[Transformational Value]):_xlfn.XLOOKUP(Table2[[#This Row],[Team]],Judge3[Team],Judge3[Would you sponsor it?]))</calculatedColumnFormula>
    </tableColumn>
    <tableColumn id="5" xr3:uid="{DFE329E2-516F-435A-B25E-8A0DF45517C2}" name="Judge4" dataDxfId="73">
      <calculatedColumnFormula>SUM(_xlfn.XLOOKUP(Table2[[#This Row],[Team]],Judge4[Team],Judge4[Transformational Value]):_xlfn.XLOOKUP(Table2[[#This Row],[Team]],Judge4[Team],Judge4[Would you sponsor it?]))</calculatedColumnFormula>
    </tableColumn>
    <tableColumn id="4" xr3:uid="{86599B50-A7F3-4F9A-B598-AB6DFA12A282}" name="Judge5" dataDxfId="72"/>
    <tableColumn id="3" xr3:uid="{4510E8F8-EEE3-4820-90BD-45C84BE7F403}" name="Judge6" dataDxfId="71"/>
    <tableColumn id="10" xr3:uid="{0C419CC9-0437-43EF-8C3F-91BE4FB87755}" name="Judge7" dataDxfId="70"/>
    <tableColumn id="9" xr3:uid="{4D8B042F-21B2-4DC4-8B30-0518CD70CC4A}" name="Judge8" dataDxfId="69"/>
    <tableColumn id="2" xr3:uid="{1D562203-BCBD-4A5C-80AA-DB63BC6BEAAC}" name="Total" dataDxfId="0">
      <calculatedColumnFormula>(SUM(Table2[[#This Row],[Judge1]:[Judge2]])) / Config!$D$3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AB750E-B115-4D72-BB53-0407C107DBC3}" name="Judge1" displayName="Judge1" ref="A2:H22" totalsRowShown="0" headerRowDxfId="68" dataDxfId="67">
  <autoFilter ref="A2:H22" xr:uid="{D3AB750E-B115-4D72-BB53-0407C107DBC3}"/>
  <tableColumns count="8">
    <tableColumn id="1" xr3:uid="{759AF3BB-B194-437C-883A-B6CBB8977844}" name="Team" dataDxfId="66"/>
    <tableColumn id="7" xr3:uid="{D401A94C-932C-4B04-BC0A-D748571E45F6}" name="Name" dataDxfId="65"/>
    <tableColumn id="2" xr3:uid="{318F9B88-BD6E-4324-9D09-2F5387EA3524}" name="Transformational Value" dataDxfId="64"/>
    <tableColumn id="3" xr3:uid="{E7D5E2DE-0E3D-4F7C-85AE-6EC906BB41E7}" name="Business Impact" dataDxfId="63"/>
    <tableColumn id="4" xr3:uid="{D901C8D3-FD3D-4A25-85B0-FCBA1F452DC2}" name="Adoption Potential" dataDxfId="62"/>
    <tableColumn id="5" xr3:uid="{6DFA702A-303C-4ADA-9227-2058A9354A4F}" name="Workflow Design" dataDxfId="61"/>
    <tableColumn id="6" xr3:uid="{9E97DC03-AF06-48B7-9093-ECA559E0CFA6}" name="Presentation" dataDxfId="60"/>
    <tableColumn id="8" xr3:uid="{7D053945-0403-41F7-BDE2-B626150448E1}" name="Would you sponsor it?" dataDxfId="59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04C453-93D5-429A-B90A-8D60CBED935D}" name="Judge2" displayName="Judge2" ref="A2:H22" totalsRowShown="0" headerRowDxfId="93" dataDxfId="92">
  <autoFilter ref="A2:H22" xr:uid="{D3AB750E-B115-4D72-BB53-0407C107DBC3}"/>
  <tableColumns count="8">
    <tableColumn id="1" xr3:uid="{34FEB889-DC89-4C3B-98AF-9CE74243BA7F}" name="Team" dataDxfId="91"/>
    <tableColumn id="7" xr3:uid="{E4F101AD-E8A2-413E-B3CD-E7171FF6D7F1}" name="Name" dataDxfId="90"/>
    <tableColumn id="2" xr3:uid="{D67D7A01-9231-49B5-A352-B22058A2E0CA}" name="Transformational Value" dataDxfId="89"/>
    <tableColumn id="3" xr3:uid="{BEB98C75-A0E8-4B26-932E-D52061473065}" name="Business Impact" dataDxfId="88"/>
    <tableColumn id="4" xr3:uid="{1AA59FB1-7DB5-4D00-8AF4-429645F1F511}" name="Adoption Potential" dataDxfId="87"/>
    <tableColumn id="5" xr3:uid="{CFFDCC35-2C4D-4641-A50D-F71FB96DFBCA}" name="Workflow Design" dataDxfId="86"/>
    <tableColumn id="6" xr3:uid="{61809164-BA77-4060-BC92-B130E69427FE}" name="Presentation" dataDxfId="85"/>
    <tableColumn id="8" xr3:uid="{E9D0679A-14DE-4D0B-85A3-2E3E1B43D5FF}" name="Would you sponsor it?" dataDxfId="84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69844E-C923-4159-9BF2-F78AB128C829}" name="Judge3" displayName="Judge3" ref="A2:H22" totalsRowShown="0" headerRowDxfId="58" dataDxfId="57">
  <autoFilter ref="A2:H22" xr:uid="{D3AB750E-B115-4D72-BB53-0407C107DBC3}"/>
  <tableColumns count="8">
    <tableColumn id="1" xr3:uid="{52FAE16F-77EC-4327-AAF2-320EA59BF66C}" name="Team" dataDxfId="56"/>
    <tableColumn id="7" xr3:uid="{9DF8C216-005D-47AC-946C-FDCC2B5C4A87}" name="Name" dataDxfId="55"/>
    <tableColumn id="2" xr3:uid="{F10BF5A3-2D56-4522-90C0-4C506A5A1A16}" name="Transformational Value" dataDxfId="54"/>
    <tableColumn id="3" xr3:uid="{2A8591C5-6138-4E3F-A100-827CA52B66B1}" name="Business Impact" dataDxfId="53"/>
    <tableColumn id="4" xr3:uid="{BDF7AF62-3F15-4258-BC42-7E7F7DE0722C}" name="Adoption Potential" dataDxfId="52"/>
    <tableColumn id="5" xr3:uid="{E66E3025-126A-4CEF-952A-5221C515F9DA}" name="Workflow Design" dataDxfId="51"/>
    <tableColumn id="6" xr3:uid="{6901EA28-7987-4F89-94BC-962D44E49A07}" name="Presentation" dataDxfId="50"/>
    <tableColumn id="8" xr3:uid="{7273DCF5-837C-425B-B203-D9F79934AF45}" name="Would you sponsor it?" dataDxfId="49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B66EDB-F075-459E-805E-48B907C2C418}" name="Judge4" displayName="Judge4" ref="A2:H22" totalsRowShown="0" headerRowDxfId="48" dataDxfId="47">
  <autoFilter ref="A2:H22" xr:uid="{D3AB750E-B115-4D72-BB53-0407C107DBC3}"/>
  <tableColumns count="8">
    <tableColumn id="1" xr3:uid="{9B6456A4-DA4F-4616-BAEB-0378C9A862D8}" name="Team" dataDxfId="46"/>
    <tableColumn id="7" xr3:uid="{6BCDC2AB-CC24-4D33-B69F-564F824E0D3F}" name="Name" dataDxfId="45"/>
    <tableColumn id="2" xr3:uid="{708C77D3-9604-4A7C-BA52-CB9FBCFF8CB5}" name="Transformational Value" dataDxfId="44"/>
    <tableColumn id="3" xr3:uid="{F9F820B4-10EF-48E8-A88F-DB72A4A1E49C}" name="Business Impact" dataDxfId="43"/>
    <tableColumn id="4" xr3:uid="{828DFB6B-D5C6-4C28-9E81-F51734D3C197}" name="Adoption Potential" dataDxfId="42"/>
    <tableColumn id="5" xr3:uid="{232FF0B7-17B6-4C19-A0CC-0CD7F13DCF1C}" name="Workflow Design" dataDxfId="41"/>
    <tableColumn id="6" xr3:uid="{A095FD20-162C-45CC-AAAD-0E0021C87454}" name="Presentation" dataDxfId="40"/>
    <tableColumn id="8" xr3:uid="{F5BB0CAD-7AF0-4D38-BB39-17178BAF4D27}" name="Would you sponsor it?" dataDxfId="39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536B02-94CD-49F2-B068-514E5192C108}" name="Judge44" displayName="Judge44" ref="A2:H22" totalsRowShown="0" headerRowDxfId="38" dataDxfId="37">
  <autoFilter ref="A2:H22" xr:uid="{D3AB750E-B115-4D72-BB53-0407C107DBC3}"/>
  <tableColumns count="8">
    <tableColumn id="1" xr3:uid="{B1D1C1FF-216D-48A8-A9B8-02E593443190}" name="Team" dataDxfId="36"/>
    <tableColumn id="7" xr3:uid="{CD1571C4-55EA-4099-B378-86E6E8F56858}" name="Name" dataDxfId="35"/>
    <tableColumn id="2" xr3:uid="{ED61BC99-08EC-42F1-8387-D5B2F79D6BFC}" name="Transformational Value" dataDxfId="34"/>
    <tableColumn id="3" xr3:uid="{45808CB4-3483-4A91-BC66-0D0205B10226}" name="Business Impact" dataDxfId="33"/>
    <tableColumn id="4" xr3:uid="{01FEB90A-1F26-41A3-BAD3-081CAF4A4B32}" name="Adoption Potential" dataDxfId="32"/>
    <tableColumn id="5" xr3:uid="{28CEFDFC-BCEE-46A8-828D-D984C94BA5A7}" name="Workflow Design" dataDxfId="31"/>
    <tableColumn id="6" xr3:uid="{515B43FD-EF27-4A94-A778-B4666A95EE36}" name="Presentation" dataDxfId="30"/>
    <tableColumn id="8" xr3:uid="{8199842C-9ACE-4B81-8E67-7EBA8C90581D}" name="Would you sponsor it?" dataDxfId="29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6505AAA-C57E-44E1-B486-B05697B1BD7B}" name="Judge448" displayName="Judge448" ref="A2:H17" totalsRowShown="0" headerRowDxfId="28" dataDxfId="27">
  <autoFilter ref="A2:H17" xr:uid="{D3AB750E-B115-4D72-BB53-0407C107DBC3}"/>
  <tableColumns count="8">
    <tableColumn id="1" xr3:uid="{C5166BC7-9C13-4B6F-ABA8-172CD9D658B5}" name="Team" dataDxfId="26"/>
    <tableColumn id="7" xr3:uid="{28BE2F62-4D65-46BD-9A6C-44D6675ED937}" name="Name" dataDxfId="25"/>
    <tableColumn id="2" xr3:uid="{308DBD59-386D-426B-9D6B-54D7B7E70FEF}" name="Transformational Value" dataDxfId="24"/>
    <tableColumn id="3" xr3:uid="{91644E9A-A172-4B32-8892-B0F6F2452423}" name="Business Impact" dataDxfId="23"/>
    <tableColumn id="4" xr3:uid="{F35CFA58-243B-4632-BC24-C94B246E95A2}" name="Adoption Potential" dataDxfId="22"/>
    <tableColumn id="5" xr3:uid="{4F403BEF-B884-408A-9D10-CA65CD07F53F}" name="Workflow Design" dataDxfId="21"/>
    <tableColumn id="6" xr3:uid="{02DF3673-6050-4E57-A3BF-EA26F09BB8BD}" name="Presentation" dataDxfId="20"/>
    <tableColumn id="8" xr3:uid="{09FA7754-C166-4467-B326-78D532CCE13F}" name="Would you sponsor it?" dataDxfId="19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F730-5544-4FDD-8972-C69B0D2AB638}">
  <dimension ref="A1:K22"/>
  <sheetViews>
    <sheetView tabSelected="1" zoomScale="145" zoomScaleNormal="145" workbookViewId="0">
      <selection activeCell="N6" sqref="N6"/>
    </sheetView>
  </sheetViews>
  <sheetFormatPr defaultRowHeight="15" outlineLevelCol="1" x14ac:dyDescent="0.25"/>
  <cols>
    <col min="1" max="1" width="14.42578125" customWidth="1"/>
    <col min="2" max="2" width="32.28515625" customWidth="1"/>
    <col min="3" max="10" width="14.42578125" hidden="1" customWidth="1" outlineLevel="1"/>
    <col min="11" max="11" width="15.7109375" customWidth="1" collapsed="1"/>
  </cols>
  <sheetData>
    <row r="1" spans="1:11" x14ac:dyDescent="0.25">
      <c r="A1" s="2" t="s">
        <v>0</v>
      </c>
      <c r="B1" s="2"/>
    </row>
    <row r="2" spans="1:11" ht="19.5" thickBot="1" x14ac:dyDescent="0.35">
      <c r="A2" s="9" t="s">
        <v>1</v>
      </c>
      <c r="B2" s="1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4" t="s">
        <v>11</v>
      </c>
    </row>
    <row r="3" spans="1:11" ht="18.75" x14ac:dyDescent="0.25">
      <c r="A3" s="10">
        <v>1</v>
      </c>
      <c r="B3" s="15"/>
      <c r="C3" s="6">
        <f>SUM(_xlfn.XLOOKUP(Table2[[#This Row],[Team]],Judge1[Team],Judge1[Transformational Value]):_xlfn.XLOOKUP(Table2[[#This Row],[Team]],Judge1[Team],Judge1[Would you sponsor it?]))</f>
        <v>0</v>
      </c>
      <c r="D3" s="6">
        <f>SUM(_xlfn.XLOOKUP(Table2[[#This Row],[Team]],Judge2[Team],Judge2[Transformational Value]):_xlfn.XLOOKUP(Table2[[#This Row],[Team]],Judge2[Team],Judge2[Would you sponsor it?]))</f>
        <v>0</v>
      </c>
      <c r="E3" s="6">
        <f>SUM(_xlfn.XLOOKUP(Table2[[#This Row],[Team]],Judge3[Team],Judge3[Transformational Value]):_xlfn.XLOOKUP(Table2[[#This Row],[Team]],Judge3[Team],Judge3[Would you sponsor it?]))</f>
        <v>0</v>
      </c>
      <c r="F3" s="6">
        <f>SUM(_xlfn.XLOOKUP(Table2[[#This Row],[Team]],Judge4[Team],Judge4[Transformational Value]):_xlfn.XLOOKUP(Table2[[#This Row],[Team]],Judge4[Team],Judge4[Would you sponsor it?]))</f>
        <v>0</v>
      </c>
      <c r="G3" s="6"/>
      <c r="H3" s="6"/>
      <c r="I3" s="6"/>
      <c r="J3" s="6"/>
      <c r="K3" s="7">
        <f>(SUM(Table2[[#This Row],[Judge1]:[Judge2]])) / Config!$D$3</f>
        <v>0</v>
      </c>
    </row>
    <row r="4" spans="1:11" ht="18.75" x14ac:dyDescent="0.25">
      <c r="A4" s="10">
        <v>2</v>
      </c>
      <c r="B4" s="15"/>
      <c r="C4" s="6">
        <f>SUM(_xlfn.XLOOKUP(Table2[[#This Row],[Team]],Judge1[Team],Judge1[Transformational Value]):_xlfn.XLOOKUP(Table2[[#This Row],[Team]],Judge1[Team],Judge1[Would you sponsor it?]))</f>
        <v>0</v>
      </c>
      <c r="D4" s="6">
        <f>SUM(_xlfn.XLOOKUP(Table2[[#This Row],[Team]],Judge2[Team],Judge2[Transformational Value]):_xlfn.XLOOKUP(Table2[[#This Row],[Team]],Judge2[Team],Judge2[Would you sponsor it?]))</f>
        <v>0</v>
      </c>
      <c r="E4" s="6">
        <f>SUM(_xlfn.XLOOKUP(Table2[[#This Row],[Team]],Judge3[Team],Judge3[Transformational Value]):_xlfn.XLOOKUP(Table2[[#This Row],[Team]],Judge3[Team],Judge3[Would you sponsor it?]))</f>
        <v>0</v>
      </c>
      <c r="F4" s="6">
        <f>SUM(_xlfn.XLOOKUP(Table2[[#This Row],[Team]],Judge4[Team],Judge4[Transformational Value]):_xlfn.XLOOKUP(Table2[[#This Row],[Team]],Judge4[Team],Judge4[Would you sponsor it?]))</f>
        <v>0</v>
      </c>
      <c r="G4" s="6"/>
      <c r="H4" s="6"/>
      <c r="I4" s="6"/>
      <c r="J4" s="6"/>
      <c r="K4" s="7">
        <f>(SUM(Table2[[#This Row],[Judge1]:[Judge2]])) / Config!$D$3</f>
        <v>0</v>
      </c>
    </row>
    <row r="5" spans="1:11" ht="18.75" x14ac:dyDescent="0.25">
      <c r="A5" s="10">
        <v>3</v>
      </c>
      <c r="B5" s="15"/>
      <c r="C5" s="6">
        <f>SUM(_xlfn.XLOOKUP(Table2[[#This Row],[Team]],Judge1[Team],Judge1[Transformational Value]):_xlfn.XLOOKUP(Table2[[#This Row],[Team]],Judge1[Team],Judge1[Would you sponsor it?]))</f>
        <v>0</v>
      </c>
      <c r="D5" s="6">
        <f>SUM(_xlfn.XLOOKUP(Table2[[#This Row],[Team]],Judge2[Team],Judge2[Transformational Value]):_xlfn.XLOOKUP(Table2[[#This Row],[Team]],Judge2[Team],Judge2[Would you sponsor it?]))</f>
        <v>0</v>
      </c>
      <c r="E5" s="6">
        <f>SUM(_xlfn.XLOOKUP(Table2[[#This Row],[Team]],Judge3[Team],Judge3[Transformational Value]):_xlfn.XLOOKUP(Table2[[#This Row],[Team]],Judge3[Team],Judge3[Would you sponsor it?]))</f>
        <v>0</v>
      </c>
      <c r="F5" s="6">
        <f>SUM(_xlfn.XLOOKUP(Table2[[#This Row],[Team]],Judge4[Team],Judge4[Transformational Value]):_xlfn.XLOOKUP(Table2[[#This Row],[Team]],Judge4[Team],Judge4[Would you sponsor it?]))</f>
        <v>0</v>
      </c>
      <c r="G5" s="6"/>
      <c r="H5" s="6"/>
      <c r="I5" s="6"/>
      <c r="J5" s="6"/>
      <c r="K5" s="7">
        <f>(SUM(Table2[[#This Row],[Judge1]:[Judge2]])) / Config!$D$3</f>
        <v>0</v>
      </c>
    </row>
    <row r="6" spans="1:11" ht="18.75" x14ac:dyDescent="0.25">
      <c r="A6" s="10">
        <v>4</v>
      </c>
      <c r="B6" s="15"/>
      <c r="C6" s="6">
        <f>SUM(_xlfn.XLOOKUP(Table2[[#This Row],[Team]],Judge1[Team],Judge1[Transformational Value]):_xlfn.XLOOKUP(Table2[[#This Row],[Team]],Judge1[Team],Judge1[Would you sponsor it?]))</f>
        <v>0</v>
      </c>
      <c r="D6" s="6">
        <f>SUM(_xlfn.XLOOKUP(Table2[[#This Row],[Team]],Judge2[Team],Judge2[Transformational Value]):_xlfn.XLOOKUP(Table2[[#This Row],[Team]],Judge2[Team],Judge2[Would you sponsor it?]))</f>
        <v>0</v>
      </c>
      <c r="E6" s="6">
        <f>SUM(_xlfn.XLOOKUP(Table2[[#This Row],[Team]],Judge3[Team],Judge3[Transformational Value]):_xlfn.XLOOKUP(Table2[[#This Row],[Team]],Judge3[Team],Judge3[Would you sponsor it?]))</f>
        <v>0</v>
      </c>
      <c r="F6" s="6">
        <f>SUM(_xlfn.XLOOKUP(Table2[[#This Row],[Team]],Judge4[Team],Judge4[Transformational Value]):_xlfn.XLOOKUP(Table2[[#This Row],[Team]],Judge4[Team],Judge4[Would you sponsor it?]))</f>
        <v>0</v>
      </c>
      <c r="G6" s="6"/>
      <c r="H6" s="6"/>
      <c r="I6" s="6"/>
      <c r="J6" s="6"/>
      <c r="K6" s="7">
        <f>(SUM(Table2[[#This Row],[Judge1]:[Judge2]])) / Config!$D$3</f>
        <v>0</v>
      </c>
    </row>
    <row r="7" spans="1:11" ht="18.75" x14ac:dyDescent="0.25">
      <c r="A7" s="10">
        <v>5</v>
      </c>
      <c r="B7" s="15"/>
      <c r="C7" s="6">
        <f>SUM(_xlfn.XLOOKUP(Table2[[#This Row],[Team]],Judge1[Team],Judge1[Transformational Value]):_xlfn.XLOOKUP(Table2[[#This Row],[Team]],Judge1[Team],Judge1[Would you sponsor it?]))</f>
        <v>0</v>
      </c>
      <c r="D7" s="6">
        <f>SUM(_xlfn.XLOOKUP(Table2[[#This Row],[Team]],Judge2[Team],Judge2[Transformational Value]):_xlfn.XLOOKUP(Table2[[#This Row],[Team]],Judge2[Team],Judge2[Would you sponsor it?]))</f>
        <v>0</v>
      </c>
      <c r="E7" s="6">
        <f>SUM(_xlfn.XLOOKUP(Table2[[#This Row],[Team]],Judge3[Team],Judge3[Transformational Value]):_xlfn.XLOOKUP(Table2[[#This Row],[Team]],Judge3[Team],Judge3[Would you sponsor it?]))</f>
        <v>0</v>
      </c>
      <c r="F7" s="6">
        <f>SUM(_xlfn.XLOOKUP(Table2[[#This Row],[Team]],Judge4[Team],Judge4[Transformational Value]):_xlfn.XLOOKUP(Table2[[#This Row],[Team]],Judge4[Team],Judge4[Would you sponsor it?]))</f>
        <v>0</v>
      </c>
      <c r="G7" s="6"/>
      <c r="H7" s="6"/>
      <c r="I7" s="6"/>
      <c r="J7" s="6"/>
      <c r="K7" s="7">
        <f>(SUM(Table2[[#This Row],[Judge1]:[Judge2]])) / Config!$D$3</f>
        <v>0</v>
      </c>
    </row>
    <row r="8" spans="1:11" ht="18.75" x14ac:dyDescent="0.25">
      <c r="A8" s="10">
        <v>6</v>
      </c>
      <c r="B8" s="15"/>
      <c r="C8" s="6">
        <f>SUM(_xlfn.XLOOKUP(Table2[[#This Row],[Team]],Judge1[Team],Judge1[Transformational Value]):_xlfn.XLOOKUP(Table2[[#This Row],[Team]],Judge1[Team],Judge1[Would you sponsor it?]))</f>
        <v>0</v>
      </c>
      <c r="D8" s="6">
        <f>SUM(_xlfn.XLOOKUP(Table2[[#This Row],[Team]],Judge2[Team],Judge2[Transformational Value]):_xlfn.XLOOKUP(Table2[[#This Row],[Team]],Judge2[Team],Judge2[Would you sponsor it?]))</f>
        <v>0</v>
      </c>
      <c r="E8" s="6">
        <f>SUM(_xlfn.XLOOKUP(Table2[[#This Row],[Team]],Judge3[Team],Judge3[Transformational Value]):_xlfn.XLOOKUP(Table2[[#This Row],[Team]],Judge3[Team],Judge3[Would you sponsor it?]))</f>
        <v>0</v>
      </c>
      <c r="F8" s="6">
        <f>SUM(_xlfn.XLOOKUP(Table2[[#This Row],[Team]],Judge4[Team],Judge4[Transformational Value]):_xlfn.XLOOKUP(Table2[[#This Row],[Team]],Judge4[Team],Judge4[Would you sponsor it?]))</f>
        <v>0</v>
      </c>
      <c r="G8" s="6"/>
      <c r="H8" s="6"/>
      <c r="I8" s="6"/>
      <c r="J8" s="6"/>
      <c r="K8" s="7">
        <f>(SUM(Table2[[#This Row],[Judge1]:[Judge2]])) / Config!$D$3</f>
        <v>0</v>
      </c>
    </row>
    <row r="9" spans="1:11" ht="18.75" x14ac:dyDescent="0.25">
      <c r="A9" s="10">
        <v>7</v>
      </c>
      <c r="B9" s="15"/>
      <c r="C9" s="6">
        <f>SUM(_xlfn.XLOOKUP(Table2[[#This Row],[Team]],Judge1[Team],Judge1[Transformational Value]):_xlfn.XLOOKUP(Table2[[#This Row],[Team]],Judge1[Team],Judge1[Would you sponsor it?]))</f>
        <v>0</v>
      </c>
      <c r="D9" s="6">
        <f>SUM(_xlfn.XLOOKUP(Table2[[#This Row],[Team]],Judge2[Team],Judge2[Transformational Value]):_xlfn.XLOOKUP(Table2[[#This Row],[Team]],Judge2[Team],Judge2[Would you sponsor it?]))</f>
        <v>0</v>
      </c>
      <c r="E9" s="6">
        <f>SUM(_xlfn.XLOOKUP(Table2[[#This Row],[Team]],Judge3[Team],Judge3[Transformational Value]):_xlfn.XLOOKUP(Table2[[#This Row],[Team]],Judge3[Team],Judge3[Would you sponsor it?]))</f>
        <v>0</v>
      </c>
      <c r="F9" s="6">
        <f>SUM(_xlfn.XLOOKUP(Table2[[#This Row],[Team]],Judge4[Team],Judge4[Transformational Value]):_xlfn.XLOOKUP(Table2[[#This Row],[Team]],Judge4[Team],Judge4[Would you sponsor it?]))</f>
        <v>0</v>
      </c>
      <c r="G9" s="6"/>
      <c r="H9" s="6"/>
      <c r="I9" s="6"/>
      <c r="J9" s="6"/>
      <c r="K9" s="7">
        <f>(SUM(Table2[[#This Row],[Judge1]:[Judge2]])) / Config!$D$3</f>
        <v>0</v>
      </c>
    </row>
    <row r="10" spans="1:11" ht="18.75" x14ac:dyDescent="0.25">
      <c r="A10" s="10">
        <v>8</v>
      </c>
      <c r="B10" s="15"/>
      <c r="C10" s="6">
        <f>SUM(_xlfn.XLOOKUP(Table2[[#This Row],[Team]],Judge1[Team],Judge1[Transformational Value]):_xlfn.XLOOKUP(Table2[[#This Row],[Team]],Judge1[Team],Judge1[Would you sponsor it?]))</f>
        <v>0</v>
      </c>
      <c r="D10" s="6">
        <f>SUM(_xlfn.XLOOKUP(Table2[[#This Row],[Team]],Judge2[Team],Judge2[Transformational Value]):_xlfn.XLOOKUP(Table2[[#This Row],[Team]],Judge2[Team],Judge2[Would you sponsor it?]))</f>
        <v>0</v>
      </c>
      <c r="E10" s="6">
        <f>SUM(_xlfn.XLOOKUP(Table2[[#This Row],[Team]],Judge3[Team],Judge3[Transformational Value]):_xlfn.XLOOKUP(Table2[[#This Row],[Team]],Judge3[Team],Judge3[Would you sponsor it?]))</f>
        <v>0</v>
      </c>
      <c r="F10" s="6">
        <f>SUM(_xlfn.XLOOKUP(Table2[[#This Row],[Team]],Judge4[Team],Judge4[Transformational Value]):_xlfn.XLOOKUP(Table2[[#This Row],[Team]],Judge4[Team],Judge4[Would you sponsor it?]))</f>
        <v>0</v>
      </c>
      <c r="G10" s="6"/>
      <c r="H10" s="6"/>
      <c r="I10" s="6"/>
      <c r="J10" s="6"/>
      <c r="K10" s="7">
        <f>(SUM(Table2[[#This Row],[Judge1]:[Judge2]])) / Config!$D$3</f>
        <v>0</v>
      </c>
    </row>
    <row r="11" spans="1:11" ht="18.75" x14ac:dyDescent="0.25">
      <c r="A11" s="10">
        <v>9</v>
      </c>
      <c r="B11" s="15"/>
      <c r="C11" s="6">
        <f>SUM(_xlfn.XLOOKUP(Table2[[#This Row],[Team]],Judge1[Team],Judge1[Transformational Value]):_xlfn.XLOOKUP(Table2[[#This Row],[Team]],Judge1[Team],Judge1[Would you sponsor it?]))</f>
        <v>0</v>
      </c>
      <c r="D11" s="6">
        <f>SUM(_xlfn.XLOOKUP(Table2[[#This Row],[Team]],Judge2[Team],Judge2[Transformational Value]):_xlfn.XLOOKUP(Table2[[#This Row],[Team]],Judge2[Team],Judge2[Would you sponsor it?]))</f>
        <v>0</v>
      </c>
      <c r="E11" s="6">
        <f>SUM(_xlfn.XLOOKUP(Table2[[#This Row],[Team]],Judge3[Team],Judge3[Transformational Value]):_xlfn.XLOOKUP(Table2[[#This Row],[Team]],Judge3[Team],Judge3[Would you sponsor it?]))</f>
        <v>0</v>
      </c>
      <c r="F11" s="6">
        <f>SUM(_xlfn.XLOOKUP(Table2[[#This Row],[Team]],Judge4[Team],Judge4[Transformational Value]):_xlfn.XLOOKUP(Table2[[#This Row],[Team]],Judge4[Team],Judge4[Would you sponsor it?]))</f>
        <v>0</v>
      </c>
      <c r="G11" s="6"/>
      <c r="H11" s="6"/>
      <c r="I11" s="6"/>
      <c r="J11" s="6"/>
      <c r="K11" s="7">
        <f>(SUM(Table2[[#This Row],[Judge1]:[Judge2]])) / Config!$D$3</f>
        <v>0</v>
      </c>
    </row>
    <row r="12" spans="1:11" ht="18.75" x14ac:dyDescent="0.25">
      <c r="A12" s="10">
        <v>10</v>
      </c>
      <c r="B12" s="15"/>
      <c r="C12" s="6">
        <f>SUM(_xlfn.XLOOKUP(Table2[[#This Row],[Team]],Judge1[Team],Judge1[Transformational Value]):_xlfn.XLOOKUP(Table2[[#This Row],[Team]],Judge1[Team],Judge1[Would you sponsor it?]))</f>
        <v>0</v>
      </c>
      <c r="D12" s="6">
        <f>SUM(_xlfn.XLOOKUP(Table2[[#This Row],[Team]],Judge2[Team],Judge2[Transformational Value]):_xlfn.XLOOKUP(Table2[[#This Row],[Team]],Judge2[Team],Judge2[Would you sponsor it?]))</f>
        <v>0</v>
      </c>
      <c r="E12" s="6">
        <f>SUM(_xlfn.XLOOKUP(Table2[[#This Row],[Team]],Judge3[Team],Judge3[Transformational Value]):_xlfn.XLOOKUP(Table2[[#This Row],[Team]],Judge3[Team],Judge3[Would you sponsor it?]))</f>
        <v>0</v>
      </c>
      <c r="F12" s="6">
        <f>SUM(_xlfn.XLOOKUP(Table2[[#This Row],[Team]],Judge4[Team],Judge4[Transformational Value]):_xlfn.XLOOKUP(Table2[[#This Row],[Team]],Judge4[Team],Judge4[Would you sponsor it?]))</f>
        <v>0</v>
      </c>
      <c r="G12" s="6"/>
      <c r="H12" s="6"/>
      <c r="I12" s="6"/>
      <c r="J12" s="6"/>
      <c r="K12" s="7">
        <f>(SUM(Table2[[#This Row],[Judge1]:[Judge2]])) / Config!$D$3</f>
        <v>0</v>
      </c>
    </row>
    <row r="13" spans="1:11" ht="18.75" x14ac:dyDescent="0.25">
      <c r="A13" s="10">
        <v>11</v>
      </c>
      <c r="B13" s="15"/>
      <c r="C13" s="6">
        <f>SUM(_xlfn.XLOOKUP(Table2[[#This Row],[Team]],Judge1[Team],Judge1[Transformational Value]):_xlfn.XLOOKUP(Table2[[#This Row],[Team]],Judge1[Team],Judge1[Would you sponsor it?]))</f>
        <v>0</v>
      </c>
      <c r="D13" s="6">
        <f>SUM(_xlfn.XLOOKUP(Table2[[#This Row],[Team]],Judge2[Team],Judge2[Transformational Value]):_xlfn.XLOOKUP(Table2[[#This Row],[Team]],Judge2[Team],Judge2[Would you sponsor it?]))</f>
        <v>0</v>
      </c>
      <c r="E13" s="6">
        <f>SUM(_xlfn.XLOOKUP(Table2[[#This Row],[Team]],Judge3[Team],Judge3[Transformational Value]):_xlfn.XLOOKUP(Table2[[#This Row],[Team]],Judge3[Team],Judge3[Would you sponsor it?]))</f>
        <v>0</v>
      </c>
      <c r="F13" s="6">
        <f>SUM(_xlfn.XLOOKUP(Table2[[#This Row],[Team]],Judge4[Team],Judge4[Transformational Value]):_xlfn.XLOOKUP(Table2[[#This Row],[Team]],Judge4[Team],Judge4[Would you sponsor it?]))</f>
        <v>0</v>
      </c>
      <c r="G13" s="6"/>
      <c r="H13" s="6"/>
      <c r="I13" s="6"/>
      <c r="J13" s="6"/>
      <c r="K13" s="7">
        <f>(SUM(Table2[[#This Row],[Judge1]:[Judge2]])) / Config!$D$3</f>
        <v>0</v>
      </c>
    </row>
    <row r="14" spans="1:11" ht="18.75" x14ac:dyDescent="0.25">
      <c r="A14" s="10">
        <v>12</v>
      </c>
      <c r="B14" s="15"/>
      <c r="C14" s="6">
        <f>SUM(_xlfn.XLOOKUP(Table2[[#This Row],[Team]],Judge1[Team],Judge1[Transformational Value]):_xlfn.XLOOKUP(Table2[[#This Row],[Team]],Judge1[Team],Judge1[Would you sponsor it?]))</f>
        <v>0</v>
      </c>
      <c r="D14" s="6">
        <f>SUM(_xlfn.XLOOKUP(Table2[[#This Row],[Team]],Judge2[Team],Judge2[Transformational Value]):_xlfn.XLOOKUP(Table2[[#This Row],[Team]],Judge2[Team],Judge2[Would you sponsor it?]))</f>
        <v>0</v>
      </c>
      <c r="E14" s="6">
        <f>SUM(_xlfn.XLOOKUP(Table2[[#This Row],[Team]],Judge3[Team],Judge3[Transformational Value]):_xlfn.XLOOKUP(Table2[[#This Row],[Team]],Judge3[Team],Judge3[Would you sponsor it?]))</f>
        <v>0</v>
      </c>
      <c r="F14" s="6">
        <f>SUM(_xlfn.XLOOKUP(Table2[[#This Row],[Team]],Judge4[Team],Judge4[Transformational Value]):_xlfn.XLOOKUP(Table2[[#This Row],[Team]],Judge4[Team],Judge4[Would you sponsor it?]))</f>
        <v>0</v>
      </c>
      <c r="G14" s="6"/>
      <c r="H14" s="6"/>
      <c r="I14" s="6"/>
      <c r="J14" s="6"/>
      <c r="K14" s="7">
        <f>(SUM(Table2[[#This Row],[Judge1]:[Judge2]])) / Config!$D$3</f>
        <v>0</v>
      </c>
    </row>
    <row r="15" spans="1:11" ht="18.75" x14ac:dyDescent="0.25">
      <c r="A15" s="10">
        <v>13</v>
      </c>
      <c r="B15" s="15"/>
      <c r="C15" s="6">
        <f>SUM(_xlfn.XLOOKUP(Table2[[#This Row],[Team]],Judge1[Team],Judge1[Transformational Value]):_xlfn.XLOOKUP(Table2[[#This Row],[Team]],Judge1[Team],Judge1[Would you sponsor it?]))</f>
        <v>0</v>
      </c>
      <c r="D15" s="6">
        <f>SUM(_xlfn.XLOOKUP(Table2[[#This Row],[Team]],Judge2[Team],Judge2[Transformational Value]):_xlfn.XLOOKUP(Table2[[#This Row],[Team]],Judge2[Team],Judge2[Would you sponsor it?]))</f>
        <v>0</v>
      </c>
      <c r="E15" s="6">
        <f>SUM(_xlfn.XLOOKUP(Table2[[#This Row],[Team]],Judge3[Team],Judge3[Transformational Value]):_xlfn.XLOOKUP(Table2[[#This Row],[Team]],Judge3[Team],Judge3[Would you sponsor it?]))</f>
        <v>0</v>
      </c>
      <c r="F15" s="6">
        <f>SUM(_xlfn.XLOOKUP(Table2[[#This Row],[Team]],Judge4[Team],Judge4[Transformational Value]):_xlfn.XLOOKUP(Table2[[#This Row],[Team]],Judge4[Team],Judge4[Would you sponsor it?]))</f>
        <v>0</v>
      </c>
      <c r="G15" s="6"/>
      <c r="H15" s="6"/>
      <c r="I15" s="6"/>
      <c r="J15" s="6"/>
      <c r="K15" s="7">
        <f>(SUM(Table2[[#This Row],[Judge1]:[Judge2]])) / Config!$D$3</f>
        <v>0</v>
      </c>
    </row>
    <row r="16" spans="1:11" ht="18.75" x14ac:dyDescent="0.25">
      <c r="A16" s="10">
        <v>14</v>
      </c>
      <c r="B16" s="15"/>
      <c r="C16" s="6">
        <f>SUM(_xlfn.XLOOKUP(Table2[[#This Row],[Team]],Judge1[Team],Judge1[Transformational Value]):_xlfn.XLOOKUP(Table2[[#This Row],[Team]],Judge1[Team],Judge1[Would you sponsor it?]))</f>
        <v>0</v>
      </c>
      <c r="D16" s="6">
        <f>SUM(_xlfn.XLOOKUP(Table2[[#This Row],[Team]],Judge2[Team],Judge2[Transformational Value]):_xlfn.XLOOKUP(Table2[[#This Row],[Team]],Judge2[Team],Judge2[Would you sponsor it?]))</f>
        <v>0</v>
      </c>
      <c r="E16" s="6">
        <f>SUM(_xlfn.XLOOKUP(Table2[[#This Row],[Team]],Judge3[Team],Judge3[Transformational Value]):_xlfn.XLOOKUP(Table2[[#This Row],[Team]],Judge3[Team],Judge3[Would you sponsor it?]))</f>
        <v>0</v>
      </c>
      <c r="F16" s="6">
        <f>SUM(_xlfn.XLOOKUP(Table2[[#This Row],[Team]],Judge4[Team],Judge4[Transformational Value]):_xlfn.XLOOKUP(Table2[[#This Row],[Team]],Judge4[Team],Judge4[Would you sponsor it?]))</f>
        <v>0</v>
      </c>
      <c r="G16" s="6"/>
      <c r="H16" s="6"/>
      <c r="I16" s="6"/>
      <c r="J16" s="6"/>
      <c r="K16" s="7">
        <f>(SUM(Table2[[#This Row],[Judge1]:[Judge2]])) / Config!$D$3</f>
        <v>0</v>
      </c>
    </row>
    <row r="17" spans="1:11" ht="18.75" x14ac:dyDescent="0.25">
      <c r="A17" s="11">
        <v>15</v>
      </c>
      <c r="B17" s="15"/>
      <c r="C17" s="8">
        <f>SUM(_xlfn.XLOOKUP(Table2[[#This Row],[Team]],Judge1[Team],Judge1[Transformational Value]):_xlfn.XLOOKUP(Table2[[#This Row],[Team]],Judge1[Team],Judge1[Would you sponsor it?]))</f>
        <v>0</v>
      </c>
      <c r="D17" s="8">
        <f>SUM(_xlfn.XLOOKUP(Table2[[#This Row],[Team]],Judge2[Team],Judge2[Transformational Value]):_xlfn.XLOOKUP(Table2[[#This Row],[Team]],Judge2[Team],Judge2[Would you sponsor it?]))</f>
        <v>0</v>
      </c>
      <c r="E17" s="8">
        <f>SUM(_xlfn.XLOOKUP(Table2[[#This Row],[Team]],Judge3[Team],Judge3[Transformational Value]):_xlfn.XLOOKUP(Table2[[#This Row],[Team]],Judge3[Team],Judge3[Would you sponsor it?]))</f>
        <v>0</v>
      </c>
      <c r="F17" s="8">
        <f>SUM(_xlfn.XLOOKUP(Table2[[#This Row],[Team]],Judge4[Team],Judge4[Transformational Value]):_xlfn.XLOOKUP(Table2[[#This Row],[Team]],Judge4[Team],Judge4[Would you sponsor it?]))</f>
        <v>0</v>
      </c>
      <c r="G17" s="8"/>
      <c r="H17" s="8"/>
      <c r="I17" s="8"/>
      <c r="J17" s="8"/>
      <c r="K17" s="7">
        <f>(SUM(Table2[[#This Row],[Judge1]:[Judge2]])) / Config!$D$3</f>
        <v>0</v>
      </c>
    </row>
    <row r="18" spans="1:11" ht="18.75" x14ac:dyDescent="0.25">
      <c r="A18" s="21">
        <v>16</v>
      </c>
      <c r="B18" s="22"/>
      <c r="C18" s="23">
        <f>SUM(_xlfn.XLOOKUP(Table2[[#This Row],[Team]],Judge1[Team],Judge1[Transformational Value]):_xlfn.XLOOKUP(Table2[[#This Row],[Team]],Judge1[Team],Judge1[Would you sponsor it?]))</f>
        <v>0</v>
      </c>
      <c r="D18" s="23">
        <f>SUM(_xlfn.XLOOKUP(Table2[[#This Row],[Team]],Judge2[Team],Judge2[Transformational Value]):_xlfn.XLOOKUP(Table2[[#This Row],[Team]],Judge2[Team],Judge2[Would you sponsor it?]))</f>
        <v>0</v>
      </c>
      <c r="E18" s="23">
        <f>SUM(_xlfn.XLOOKUP(Table2[[#This Row],[Team]],Judge3[Team],Judge3[Transformational Value]):_xlfn.XLOOKUP(Table2[[#This Row],[Team]],Judge3[Team],Judge3[Would you sponsor it?]))</f>
        <v>0</v>
      </c>
      <c r="F18" s="23">
        <f>SUM(_xlfn.XLOOKUP(Table2[[#This Row],[Team]],Judge4[Team],Judge4[Transformational Value]):_xlfn.XLOOKUP(Table2[[#This Row],[Team]],Judge4[Team],Judge4[Would you sponsor it?]))</f>
        <v>0</v>
      </c>
      <c r="G18" s="23"/>
      <c r="H18" s="23"/>
      <c r="I18" s="24"/>
      <c r="J18" s="24"/>
      <c r="K18" s="7">
        <f>(SUM(Table2[[#This Row],[Judge1]:[Judge2]])) / Config!$D$3</f>
        <v>0</v>
      </c>
    </row>
    <row r="19" spans="1:11" ht="18.75" x14ac:dyDescent="0.25">
      <c r="A19" s="21">
        <v>17</v>
      </c>
      <c r="B19" s="22"/>
      <c r="C19" s="23">
        <f>SUM(_xlfn.XLOOKUP(Table2[[#This Row],[Team]],Judge1[Team],Judge1[Transformational Value]):_xlfn.XLOOKUP(Table2[[#This Row],[Team]],Judge1[Team],Judge1[Would you sponsor it?]))</f>
        <v>0</v>
      </c>
      <c r="D19" s="23">
        <f>SUM(_xlfn.XLOOKUP(Table2[[#This Row],[Team]],Judge2[Team],Judge2[Transformational Value]):_xlfn.XLOOKUP(Table2[[#This Row],[Team]],Judge2[Team],Judge2[Would you sponsor it?]))</f>
        <v>0</v>
      </c>
      <c r="E19" s="23">
        <f>SUM(_xlfn.XLOOKUP(Table2[[#This Row],[Team]],Judge3[Team],Judge3[Transformational Value]):_xlfn.XLOOKUP(Table2[[#This Row],[Team]],Judge3[Team],Judge3[Would you sponsor it?]))</f>
        <v>0</v>
      </c>
      <c r="F19" s="23">
        <f>SUM(_xlfn.XLOOKUP(Table2[[#This Row],[Team]],Judge4[Team],Judge4[Transformational Value]):_xlfn.XLOOKUP(Table2[[#This Row],[Team]],Judge4[Team],Judge4[Would you sponsor it?]))</f>
        <v>0</v>
      </c>
      <c r="G19" s="23"/>
      <c r="H19" s="23"/>
      <c r="I19" s="24"/>
      <c r="J19" s="24"/>
      <c r="K19" s="7">
        <f>(SUM(Table2[[#This Row],[Judge1]:[Judge2]])) / Config!$D$3</f>
        <v>0</v>
      </c>
    </row>
    <row r="20" spans="1:11" ht="18.75" x14ac:dyDescent="0.25">
      <c r="A20" s="21">
        <v>18</v>
      </c>
      <c r="B20" s="22"/>
      <c r="C20" s="23">
        <f>SUM(_xlfn.XLOOKUP(Table2[[#This Row],[Team]],Judge1[Team],Judge1[Transformational Value]):_xlfn.XLOOKUP(Table2[[#This Row],[Team]],Judge1[Team],Judge1[Would you sponsor it?]))</f>
        <v>0</v>
      </c>
      <c r="D20" s="23">
        <f>SUM(_xlfn.XLOOKUP(Table2[[#This Row],[Team]],Judge2[Team],Judge2[Transformational Value]):_xlfn.XLOOKUP(Table2[[#This Row],[Team]],Judge2[Team],Judge2[Would you sponsor it?]))</f>
        <v>0</v>
      </c>
      <c r="E20" s="23">
        <f>SUM(_xlfn.XLOOKUP(Table2[[#This Row],[Team]],Judge3[Team],Judge3[Transformational Value]):_xlfn.XLOOKUP(Table2[[#This Row],[Team]],Judge3[Team],Judge3[Would you sponsor it?]))</f>
        <v>0</v>
      </c>
      <c r="F20" s="23">
        <f>SUM(_xlfn.XLOOKUP(Table2[[#This Row],[Team]],Judge4[Team],Judge4[Transformational Value]):_xlfn.XLOOKUP(Table2[[#This Row],[Team]],Judge4[Team],Judge4[Would you sponsor it?]))</f>
        <v>0</v>
      </c>
      <c r="G20" s="23"/>
      <c r="H20" s="23"/>
      <c r="I20" s="24"/>
      <c r="J20" s="24"/>
      <c r="K20" s="7">
        <f>(SUM(Table2[[#This Row],[Judge1]:[Judge2]])) / Config!$D$3</f>
        <v>0</v>
      </c>
    </row>
    <row r="21" spans="1:11" ht="18.75" x14ac:dyDescent="0.25">
      <c r="A21" s="21">
        <v>19</v>
      </c>
      <c r="B21" s="22"/>
      <c r="C21" s="23">
        <f>SUM(_xlfn.XLOOKUP(Table2[[#This Row],[Team]],Judge1[Team],Judge1[Transformational Value]):_xlfn.XLOOKUP(Table2[[#This Row],[Team]],Judge1[Team],Judge1[Would you sponsor it?]))</f>
        <v>0</v>
      </c>
      <c r="D21" s="23">
        <f>SUM(_xlfn.XLOOKUP(Table2[[#This Row],[Team]],Judge2[Team],Judge2[Transformational Value]):_xlfn.XLOOKUP(Table2[[#This Row],[Team]],Judge2[Team],Judge2[Would you sponsor it?]))</f>
        <v>0</v>
      </c>
      <c r="E21" s="23">
        <f>SUM(_xlfn.XLOOKUP(Table2[[#This Row],[Team]],Judge3[Team],Judge3[Transformational Value]):_xlfn.XLOOKUP(Table2[[#This Row],[Team]],Judge3[Team],Judge3[Would you sponsor it?]))</f>
        <v>0</v>
      </c>
      <c r="F21" s="23">
        <f>SUM(_xlfn.XLOOKUP(Table2[[#This Row],[Team]],Judge4[Team],Judge4[Transformational Value]):_xlfn.XLOOKUP(Table2[[#This Row],[Team]],Judge4[Team],Judge4[Would you sponsor it?]))</f>
        <v>0</v>
      </c>
      <c r="G21" s="23"/>
      <c r="H21" s="23"/>
      <c r="I21" s="24"/>
      <c r="J21" s="24"/>
      <c r="K21" s="7">
        <f>(SUM(Table2[[#This Row],[Judge1]:[Judge2]])) / Config!$D$3</f>
        <v>0</v>
      </c>
    </row>
    <row r="22" spans="1:11" ht="18.75" x14ac:dyDescent="0.25">
      <c r="A22" s="21">
        <v>20</v>
      </c>
      <c r="B22" s="22"/>
      <c r="C22" s="23">
        <f>SUM(_xlfn.XLOOKUP(Table2[[#This Row],[Team]],Judge1[Team],Judge1[Transformational Value]):_xlfn.XLOOKUP(Table2[[#This Row],[Team]],Judge1[Team],Judge1[Would you sponsor it?]))</f>
        <v>0</v>
      </c>
      <c r="D22" s="23">
        <f>SUM(_xlfn.XLOOKUP(Table2[[#This Row],[Team]],Judge2[Team],Judge2[Transformational Value]):_xlfn.XLOOKUP(Table2[[#This Row],[Team]],Judge2[Team],Judge2[Would you sponsor it?]))</f>
        <v>0</v>
      </c>
      <c r="E22" s="23">
        <f>SUM(_xlfn.XLOOKUP(Table2[[#This Row],[Team]],Judge3[Team],Judge3[Transformational Value]):_xlfn.XLOOKUP(Table2[[#This Row],[Team]],Judge3[Team],Judge3[Would you sponsor it?]))</f>
        <v>0</v>
      </c>
      <c r="F22" s="23">
        <f>SUM(_xlfn.XLOOKUP(Table2[[#This Row],[Team]],Judge4[Team],Judge4[Transformational Value]):_xlfn.XLOOKUP(Table2[[#This Row],[Team]],Judge4[Team],Judge4[Would you sponsor it?]))</f>
        <v>0</v>
      </c>
      <c r="G22" s="23"/>
      <c r="H22" s="23"/>
      <c r="I22" s="24"/>
      <c r="J22" s="24"/>
      <c r="K22" s="7">
        <f>(SUM(Table2[[#This Row],[Judge1]:[Judge2]])) / Config!$D$3</f>
        <v>0</v>
      </c>
    </row>
  </sheetData>
  <phoneticPr fontId="5" type="noConversion"/>
  <conditionalFormatting sqref="K3:K22">
    <cfRule type="top10" dxfId="18" priority="15" rank="1"/>
    <cfRule type="top10" dxfId="17" priority="16" rank="2"/>
    <cfRule type="top10" dxfId="16" priority="17" rank="3"/>
  </conditionalFormatting>
  <dataValidations count="1">
    <dataValidation allowBlank="1" showInputMessage="1" showErrorMessage="1" promptTitle="Team name" prompt="Enter the name of the team or the business area the team is working on" sqref="B3:B22" xr:uid="{9A671CC9-51CE-4720-AEC2-233194E20191}"/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B6ED-6148-44C6-A3A7-1038C5641D96}">
  <dimension ref="A1:H22"/>
  <sheetViews>
    <sheetView zoomScaleNormal="100" workbookViewId="0">
      <selection activeCell="B17" sqref="B3:H17"/>
    </sheetView>
  </sheetViews>
  <sheetFormatPr defaultRowHeight="21" x14ac:dyDescent="0.35"/>
  <cols>
    <col min="1" max="1" width="12.42578125" style="13" customWidth="1"/>
    <col min="2" max="2" width="13" style="13" bestFit="1" customWidth="1"/>
    <col min="3" max="3" width="15.85546875" style="1" customWidth="1"/>
    <col min="4" max="5" width="13.7109375" style="1" customWidth="1"/>
    <col min="6" max="6" width="11" style="1" customWidth="1"/>
    <col min="7" max="7" width="13.7109375" style="1" customWidth="1"/>
    <col min="8" max="8" width="13.7109375" customWidth="1"/>
  </cols>
  <sheetData>
    <row r="1" spans="1:8" ht="28.5" x14ac:dyDescent="0.45">
      <c r="A1" s="20" t="s">
        <v>34</v>
      </c>
      <c r="B1" s="20"/>
      <c r="C1" s="20"/>
      <c r="D1" s="20"/>
      <c r="E1" s="20"/>
      <c r="F1" s="20"/>
      <c r="G1" s="20"/>
      <c r="H1" s="20"/>
    </row>
    <row r="2" spans="1:8" s="2" customFormat="1" ht="36.75" customHeight="1" x14ac:dyDescent="0.35">
      <c r="A2" s="12" t="s">
        <v>1</v>
      </c>
      <c r="B2" s="12" t="s">
        <v>12</v>
      </c>
      <c r="C2" s="16" t="s">
        <v>14</v>
      </c>
      <c r="D2" s="16" t="s">
        <v>15</v>
      </c>
      <c r="E2" s="16" t="s">
        <v>16</v>
      </c>
      <c r="F2" s="16" t="s">
        <v>36</v>
      </c>
      <c r="G2" s="16" t="s">
        <v>13</v>
      </c>
      <c r="H2" s="16" t="s">
        <v>17</v>
      </c>
    </row>
    <row r="3" spans="1:8" s="3" customFormat="1" x14ac:dyDescent="0.25">
      <c r="A3" s="17">
        <v>1</v>
      </c>
      <c r="B3" s="15"/>
      <c r="C3" s="19"/>
      <c r="D3" s="19"/>
      <c r="E3" s="19"/>
      <c r="F3" s="19"/>
      <c r="G3" s="19"/>
      <c r="H3" s="19"/>
    </row>
    <row r="4" spans="1:8" s="3" customFormat="1" x14ac:dyDescent="0.25">
      <c r="A4" s="17">
        <v>2</v>
      </c>
      <c r="B4" s="18"/>
      <c r="C4" s="19"/>
      <c r="D4" s="19"/>
      <c r="E4" s="19"/>
      <c r="F4" s="19"/>
      <c r="G4" s="19"/>
      <c r="H4" s="19"/>
    </row>
    <row r="5" spans="1:8" s="3" customFormat="1" x14ac:dyDescent="0.25">
      <c r="A5" s="17">
        <v>3</v>
      </c>
      <c r="B5" s="15"/>
      <c r="C5" s="19"/>
      <c r="D5" s="19"/>
      <c r="E5" s="19"/>
      <c r="F5" s="19"/>
      <c r="G5" s="19"/>
      <c r="H5" s="19"/>
    </row>
    <row r="6" spans="1:8" s="3" customFormat="1" x14ac:dyDescent="0.25">
      <c r="A6" s="17">
        <v>4</v>
      </c>
      <c r="B6" s="18"/>
      <c r="C6" s="19"/>
      <c r="D6" s="19"/>
      <c r="E6" s="19"/>
      <c r="F6" s="19"/>
      <c r="G6" s="19"/>
      <c r="H6" s="19"/>
    </row>
    <row r="7" spans="1:8" s="3" customFormat="1" x14ac:dyDescent="0.25">
      <c r="A7" s="17">
        <v>5</v>
      </c>
      <c r="B7" s="15"/>
      <c r="C7" s="19"/>
      <c r="D7" s="19"/>
      <c r="E7" s="19"/>
      <c r="F7" s="19"/>
      <c r="G7" s="19"/>
      <c r="H7" s="19"/>
    </row>
    <row r="8" spans="1:8" x14ac:dyDescent="0.25">
      <c r="A8" s="17">
        <v>6</v>
      </c>
      <c r="B8" s="18"/>
      <c r="C8" s="19"/>
      <c r="D8" s="19"/>
      <c r="E8" s="19"/>
      <c r="F8" s="19"/>
      <c r="G8" s="19"/>
      <c r="H8" s="19"/>
    </row>
    <row r="9" spans="1:8" x14ac:dyDescent="0.25">
      <c r="A9" s="17">
        <v>7</v>
      </c>
      <c r="B9" s="15"/>
      <c r="C9" s="19"/>
      <c r="D9" s="19"/>
      <c r="E9" s="19"/>
      <c r="F9" s="19"/>
      <c r="G9" s="19"/>
      <c r="H9" s="19"/>
    </row>
    <row r="10" spans="1:8" x14ac:dyDescent="0.25">
      <c r="A10" s="17">
        <v>8</v>
      </c>
      <c r="B10" s="18"/>
      <c r="C10" s="19"/>
      <c r="D10" s="19"/>
      <c r="E10" s="19"/>
      <c r="F10" s="19"/>
      <c r="G10" s="19"/>
      <c r="H10" s="19"/>
    </row>
    <row r="11" spans="1:8" x14ac:dyDescent="0.25">
      <c r="A11" s="17">
        <v>9</v>
      </c>
      <c r="B11" s="15"/>
      <c r="C11" s="19"/>
      <c r="D11" s="19"/>
      <c r="E11" s="19"/>
      <c r="F11" s="19"/>
      <c r="G11" s="19"/>
      <c r="H11" s="19"/>
    </row>
    <row r="12" spans="1:8" x14ac:dyDescent="0.25">
      <c r="A12" s="17">
        <v>10</v>
      </c>
      <c r="B12" s="18"/>
      <c r="C12" s="19"/>
      <c r="D12" s="19"/>
      <c r="E12" s="19"/>
      <c r="F12" s="19"/>
      <c r="G12" s="19"/>
      <c r="H12" s="19"/>
    </row>
    <row r="13" spans="1:8" x14ac:dyDescent="0.25">
      <c r="A13" s="17">
        <v>11</v>
      </c>
      <c r="B13" s="15"/>
      <c r="C13" s="19"/>
      <c r="D13" s="19"/>
      <c r="E13" s="19"/>
      <c r="F13" s="19"/>
      <c r="G13" s="19"/>
      <c r="H13" s="19"/>
    </row>
    <row r="14" spans="1:8" x14ac:dyDescent="0.25">
      <c r="A14" s="17">
        <v>12</v>
      </c>
      <c r="B14" s="18"/>
      <c r="C14" s="19"/>
      <c r="D14" s="19"/>
      <c r="E14" s="19"/>
      <c r="F14" s="19"/>
      <c r="G14" s="19"/>
      <c r="H14" s="19"/>
    </row>
    <row r="15" spans="1:8" x14ac:dyDescent="0.25">
      <c r="A15" s="17">
        <v>13</v>
      </c>
      <c r="B15" s="15"/>
      <c r="C15" s="19"/>
      <c r="D15" s="19"/>
      <c r="E15" s="19"/>
      <c r="F15" s="19"/>
      <c r="G15" s="19"/>
      <c r="H15" s="19"/>
    </row>
    <row r="16" spans="1:8" x14ac:dyDescent="0.25">
      <c r="A16" s="17">
        <v>14</v>
      </c>
      <c r="B16" s="18"/>
      <c r="C16" s="19"/>
      <c r="D16" s="19"/>
      <c r="E16" s="19"/>
      <c r="F16" s="19"/>
      <c r="G16" s="19"/>
      <c r="H16" s="19"/>
    </row>
    <row r="17" spans="1:8" x14ac:dyDescent="0.25">
      <c r="A17" s="17">
        <v>15</v>
      </c>
      <c r="B17" s="15"/>
      <c r="C17" s="19"/>
      <c r="D17" s="19"/>
      <c r="E17" s="19"/>
      <c r="F17" s="19"/>
      <c r="G17" s="19"/>
      <c r="H17" s="19"/>
    </row>
    <row r="18" spans="1:8" x14ac:dyDescent="0.25">
      <c r="A18" s="25">
        <v>16</v>
      </c>
      <c r="B18" s="26"/>
      <c r="C18" s="27"/>
      <c r="D18" s="27"/>
      <c r="E18" s="27"/>
      <c r="F18" s="27"/>
      <c r="G18" s="27"/>
      <c r="H18" s="27"/>
    </row>
    <row r="19" spans="1:8" x14ac:dyDescent="0.25">
      <c r="A19" s="25">
        <v>17</v>
      </c>
      <c r="B19" s="26"/>
      <c r="C19" s="27"/>
      <c r="D19" s="27"/>
      <c r="E19" s="27"/>
      <c r="F19" s="27"/>
      <c r="G19" s="27"/>
      <c r="H19" s="27"/>
    </row>
    <row r="20" spans="1:8" x14ac:dyDescent="0.25">
      <c r="A20" s="17">
        <v>18</v>
      </c>
      <c r="B20" s="26"/>
      <c r="C20" s="27"/>
      <c r="D20" s="27"/>
      <c r="E20" s="27"/>
      <c r="F20" s="27"/>
      <c r="G20" s="27"/>
      <c r="H20" s="27"/>
    </row>
    <row r="21" spans="1:8" x14ac:dyDescent="0.25">
      <c r="A21" s="25">
        <v>19</v>
      </c>
      <c r="B21" s="26"/>
      <c r="C21" s="27"/>
      <c r="D21" s="27"/>
      <c r="E21" s="27"/>
      <c r="F21" s="27"/>
      <c r="G21" s="27"/>
      <c r="H21" s="27"/>
    </row>
    <row r="22" spans="1:8" x14ac:dyDescent="0.25">
      <c r="A22" s="25">
        <v>20</v>
      </c>
      <c r="B22" s="26"/>
      <c r="C22" s="27"/>
      <c r="D22" s="27"/>
      <c r="E22" s="27"/>
      <c r="F22" s="27"/>
      <c r="G22" s="27"/>
      <c r="H22" s="27"/>
    </row>
  </sheetData>
  <mergeCells count="1">
    <mergeCell ref="A1:H1"/>
  </mergeCells>
  <phoneticPr fontId="5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FBB4C-41AA-4060-84D6-9A847EC745A2}">
  <dimension ref="A1:H22"/>
  <sheetViews>
    <sheetView zoomScale="115" zoomScaleNormal="115" workbookViewId="0">
      <selection activeCell="B3" sqref="B3:H22"/>
    </sheetView>
  </sheetViews>
  <sheetFormatPr defaultRowHeight="21" x14ac:dyDescent="0.35"/>
  <cols>
    <col min="1" max="1" width="12.42578125" style="13" customWidth="1"/>
    <col min="2" max="2" width="13" style="13" bestFit="1" customWidth="1"/>
    <col min="3" max="3" width="15.85546875" style="1" customWidth="1"/>
    <col min="4" max="5" width="13.7109375" style="1" customWidth="1"/>
    <col min="6" max="6" width="11" style="1" customWidth="1"/>
    <col min="7" max="7" width="13.7109375" style="1" customWidth="1"/>
    <col min="8" max="8" width="13.7109375" customWidth="1"/>
  </cols>
  <sheetData>
    <row r="1" spans="1:8" ht="28.5" x14ac:dyDescent="0.45">
      <c r="A1" s="20" t="s">
        <v>34</v>
      </c>
      <c r="B1" s="20"/>
      <c r="C1" s="20"/>
      <c r="D1" s="20"/>
      <c r="E1" s="20"/>
      <c r="F1" s="20"/>
      <c r="G1" s="20"/>
      <c r="H1" s="20"/>
    </row>
    <row r="2" spans="1:8" s="2" customFormat="1" ht="36.75" customHeight="1" x14ac:dyDescent="0.35">
      <c r="A2" s="12" t="s">
        <v>1</v>
      </c>
      <c r="B2" s="12" t="s">
        <v>12</v>
      </c>
      <c r="C2" s="16" t="s">
        <v>14</v>
      </c>
      <c r="D2" s="16" t="s">
        <v>15</v>
      </c>
      <c r="E2" s="16" t="s">
        <v>16</v>
      </c>
      <c r="F2" s="16" t="s">
        <v>36</v>
      </c>
      <c r="G2" s="16" t="s">
        <v>13</v>
      </c>
      <c r="H2" s="16" t="s">
        <v>17</v>
      </c>
    </row>
    <row r="3" spans="1:8" s="3" customFormat="1" x14ac:dyDescent="0.25">
      <c r="A3" s="17">
        <v>1</v>
      </c>
      <c r="B3" s="15"/>
      <c r="C3" s="19"/>
      <c r="D3" s="19"/>
      <c r="E3" s="19"/>
      <c r="F3" s="19"/>
      <c r="G3" s="19"/>
      <c r="H3" s="19"/>
    </row>
    <row r="4" spans="1:8" s="3" customFormat="1" x14ac:dyDescent="0.25">
      <c r="A4" s="17">
        <v>2</v>
      </c>
      <c r="B4" s="18"/>
      <c r="C4" s="19"/>
      <c r="D4" s="19"/>
      <c r="E4" s="19"/>
      <c r="F4" s="19"/>
      <c r="G4" s="19"/>
      <c r="H4" s="19"/>
    </row>
    <row r="5" spans="1:8" s="3" customFormat="1" x14ac:dyDescent="0.25">
      <c r="A5" s="17">
        <v>3</v>
      </c>
      <c r="B5" s="15"/>
      <c r="C5" s="19"/>
      <c r="D5" s="19"/>
      <c r="E5" s="19"/>
      <c r="F5" s="19"/>
      <c r="G5" s="19"/>
      <c r="H5" s="19"/>
    </row>
    <row r="6" spans="1:8" s="3" customFormat="1" x14ac:dyDescent="0.25">
      <c r="A6" s="17">
        <v>4</v>
      </c>
      <c r="B6" s="18"/>
      <c r="C6" s="19"/>
      <c r="D6" s="19"/>
      <c r="E6" s="19"/>
      <c r="F6" s="19"/>
      <c r="G6" s="19"/>
      <c r="H6" s="19"/>
    </row>
    <row r="7" spans="1:8" s="3" customFormat="1" x14ac:dyDescent="0.25">
      <c r="A7" s="17">
        <v>5</v>
      </c>
      <c r="B7" s="15"/>
      <c r="C7" s="19"/>
      <c r="D7" s="19"/>
      <c r="E7" s="19"/>
      <c r="F7" s="19"/>
      <c r="G7" s="19"/>
      <c r="H7" s="19"/>
    </row>
    <row r="8" spans="1:8" x14ac:dyDescent="0.25">
      <c r="A8" s="17">
        <v>6</v>
      </c>
      <c r="B8" s="18"/>
      <c r="C8" s="19"/>
      <c r="D8" s="19"/>
      <c r="E8" s="19"/>
      <c r="F8" s="19"/>
      <c r="G8" s="19"/>
      <c r="H8" s="19"/>
    </row>
    <row r="9" spans="1:8" x14ac:dyDescent="0.25">
      <c r="A9" s="17">
        <v>7</v>
      </c>
      <c r="B9" s="15"/>
      <c r="C9" s="19"/>
      <c r="D9" s="19"/>
      <c r="E9" s="19"/>
      <c r="F9" s="19"/>
      <c r="G9" s="19"/>
      <c r="H9" s="19"/>
    </row>
    <row r="10" spans="1:8" x14ac:dyDescent="0.25">
      <c r="A10" s="17">
        <v>8</v>
      </c>
      <c r="B10" s="18"/>
      <c r="C10" s="19"/>
      <c r="D10" s="19"/>
      <c r="E10" s="19"/>
      <c r="F10" s="19"/>
      <c r="G10" s="19"/>
      <c r="H10" s="19"/>
    </row>
    <row r="11" spans="1:8" x14ac:dyDescent="0.25">
      <c r="A11" s="17">
        <v>9</v>
      </c>
      <c r="B11" s="15"/>
      <c r="C11" s="19"/>
      <c r="D11" s="19"/>
      <c r="E11" s="19"/>
      <c r="F11" s="19"/>
      <c r="G11" s="19"/>
      <c r="H11" s="19"/>
    </row>
    <row r="12" spans="1:8" x14ac:dyDescent="0.25">
      <c r="A12" s="17">
        <v>10</v>
      </c>
      <c r="B12" s="18"/>
      <c r="C12" s="19"/>
      <c r="D12" s="19"/>
      <c r="E12" s="19"/>
      <c r="F12" s="19"/>
      <c r="G12" s="19"/>
      <c r="H12" s="19"/>
    </row>
    <row r="13" spans="1:8" x14ac:dyDescent="0.25">
      <c r="A13" s="17">
        <v>11</v>
      </c>
      <c r="B13" s="15"/>
      <c r="C13" s="19"/>
      <c r="D13" s="19"/>
      <c r="E13" s="19"/>
      <c r="F13" s="19"/>
      <c r="G13" s="19"/>
      <c r="H13" s="19"/>
    </row>
    <row r="14" spans="1:8" x14ac:dyDescent="0.25">
      <c r="A14" s="17">
        <v>12</v>
      </c>
      <c r="B14" s="18"/>
      <c r="C14" s="19"/>
      <c r="D14" s="19"/>
      <c r="E14" s="19"/>
      <c r="F14" s="19"/>
      <c r="G14" s="19"/>
      <c r="H14" s="19"/>
    </row>
    <row r="15" spans="1:8" x14ac:dyDescent="0.25">
      <c r="A15" s="17">
        <v>13</v>
      </c>
      <c r="B15" s="15"/>
      <c r="C15" s="19"/>
      <c r="D15" s="19"/>
      <c r="E15" s="19"/>
      <c r="F15" s="19"/>
      <c r="G15" s="19"/>
      <c r="H15" s="19"/>
    </row>
    <row r="16" spans="1:8" x14ac:dyDescent="0.25">
      <c r="A16" s="17">
        <v>14</v>
      </c>
      <c r="B16" s="18"/>
      <c r="C16" s="19"/>
      <c r="D16" s="19"/>
      <c r="E16" s="19"/>
      <c r="F16" s="19"/>
      <c r="G16" s="19"/>
      <c r="H16" s="19"/>
    </row>
    <row r="17" spans="1:8" x14ac:dyDescent="0.25">
      <c r="A17" s="17">
        <v>15</v>
      </c>
      <c r="B17" s="15"/>
      <c r="C17" s="19"/>
      <c r="D17" s="19"/>
      <c r="E17" s="19"/>
      <c r="F17" s="19"/>
      <c r="G17" s="19"/>
      <c r="H17" s="19"/>
    </row>
    <row r="18" spans="1:8" x14ac:dyDescent="0.25">
      <c r="A18" s="17">
        <v>16</v>
      </c>
      <c r="B18" s="18"/>
      <c r="C18" s="19"/>
      <c r="D18" s="19"/>
      <c r="E18" s="19"/>
      <c r="F18" s="19"/>
      <c r="G18" s="19"/>
      <c r="H18" s="19"/>
    </row>
    <row r="19" spans="1:8" x14ac:dyDescent="0.25">
      <c r="A19" s="17">
        <v>17</v>
      </c>
      <c r="B19" s="15"/>
      <c r="C19" s="19"/>
      <c r="D19" s="19"/>
      <c r="E19" s="19"/>
      <c r="F19" s="19"/>
      <c r="G19" s="19"/>
      <c r="H19" s="19"/>
    </row>
    <row r="20" spans="1:8" x14ac:dyDescent="0.25">
      <c r="A20" s="17">
        <v>18</v>
      </c>
      <c r="B20" s="18"/>
      <c r="C20" s="19"/>
      <c r="D20" s="19"/>
      <c r="E20" s="19"/>
      <c r="F20" s="19"/>
      <c r="G20" s="19"/>
      <c r="H20" s="19"/>
    </row>
    <row r="21" spans="1:8" x14ac:dyDescent="0.25">
      <c r="A21" s="17">
        <v>19</v>
      </c>
      <c r="B21" s="15"/>
      <c r="C21" s="19"/>
      <c r="D21" s="19"/>
      <c r="E21" s="19"/>
      <c r="F21" s="19"/>
      <c r="G21" s="19"/>
      <c r="H21" s="19"/>
    </row>
    <row r="22" spans="1:8" x14ac:dyDescent="0.25">
      <c r="A22" s="17">
        <v>20</v>
      </c>
      <c r="B22" s="18"/>
      <c r="C22" s="19"/>
      <c r="D22" s="19"/>
      <c r="E22" s="19"/>
      <c r="F22" s="19"/>
      <c r="G22" s="19"/>
      <c r="H22" s="19"/>
    </row>
  </sheetData>
  <mergeCells count="1">
    <mergeCell ref="A1:H1"/>
  </mergeCells>
  <phoneticPr fontId="5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8279D-858F-4879-B1BC-6606006244AE}">
  <dimension ref="A1:H22"/>
  <sheetViews>
    <sheetView topLeftCell="A11" zoomScale="130" zoomScaleNormal="130" workbookViewId="0">
      <selection activeCell="A17" sqref="A16:A22"/>
    </sheetView>
  </sheetViews>
  <sheetFormatPr defaultRowHeight="21" x14ac:dyDescent="0.35"/>
  <cols>
    <col min="1" max="1" width="12.42578125" style="13" customWidth="1"/>
    <col min="2" max="2" width="13" style="13" bestFit="1" customWidth="1"/>
    <col min="3" max="3" width="15.85546875" style="1" customWidth="1"/>
    <col min="4" max="5" width="13.7109375" style="1" customWidth="1"/>
    <col min="6" max="6" width="11" style="1" customWidth="1"/>
    <col min="7" max="7" width="13.7109375" style="1" customWidth="1"/>
    <col min="8" max="8" width="13.7109375" customWidth="1"/>
  </cols>
  <sheetData>
    <row r="1" spans="1:8" ht="28.5" x14ac:dyDescent="0.45">
      <c r="A1" s="20" t="s">
        <v>34</v>
      </c>
      <c r="B1" s="20"/>
      <c r="C1" s="20"/>
      <c r="D1" s="20"/>
      <c r="E1" s="20"/>
      <c r="F1" s="20"/>
      <c r="G1" s="20"/>
      <c r="H1" s="20"/>
    </row>
    <row r="2" spans="1:8" s="2" customFormat="1" ht="36.75" customHeight="1" x14ac:dyDescent="0.35">
      <c r="A2" s="12" t="s">
        <v>1</v>
      </c>
      <c r="B2" s="12" t="s">
        <v>12</v>
      </c>
      <c r="C2" s="16" t="s">
        <v>14</v>
      </c>
      <c r="D2" s="16" t="s">
        <v>15</v>
      </c>
      <c r="E2" s="16" t="s">
        <v>16</v>
      </c>
      <c r="F2" s="16" t="s">
        <v>36</v>
      </c>
      <c r="G2" s="16" t="s">
        <v>13</v>
      </c>
      <c r="H2" s="16" t="s">
        <v>17</v>
      </c>
    </row>
    <row r="3" spans="1:8" s="3" customFormat="1" x14ac:dyDescent="0.25">
      <c r="A3" s="17">
        <v>1</v>
      </c>
      <c r="B3" s="15"/>
      <c r="C3" s="19"/>
      <c r="D3" s="19"/>
      <c r="E3" s="19"/>
      <c r="F3" s="19"/>
      <c r="G3" s="19"/>
      <c r="H3" s="19"/>
    </row>
    <row r="4" spans="1:8" s="3" customFormat="1" x14ac:dyDescent="0.25">
      <c r="A4" s="17">
        <v>2</v>
      </c>
      <c r="B4" s="18"/>
      <c r="C4" s="19"/>
      <c r="D4" s="19"/>
      <c r="E4" s="19"/>
      <c r="F4" s="19"/>
      <c r="G4" s="19"/>
      <c r="H4" s="19"/>
    </row>
    <row r="5" spans="1:8" s="3" customFormat="1" x14ac:dyDescent="0.25">
      <c r="A5" s="17">
        <v>3</v>
      </c>
      <c r="B5" s="15"/>
      <c r="C5" s="19"/>
      <c r="D5" s="19"/>
      <c r="E5" s="19"/>
      <c r="F5" s="19"/>
      <c r="G5" s="19"/>
      <c r="H5" s="19"/>
    </row>
    <row r="6" spans="1:8" s="3" customFormat="1" x14ac:dyDescent="0.25">
      <c r="A6" s="17">
        <v>4</v>
      </c>
      <c r="B6" s="18"/>
      <c r="C6" s="19"/>
      <c r="D6" s="19"/>
      <c r="E6" s="19"/>
      <c r="F6" s="19"/>
      <c r="G6" s="19"/>
      <c r="H6" s="19"/>
    </row>
    <row r="7" spans="1:8" s="3" customFormat="1" x14ac:dyDescent="0.25">
      <c r="A7" s="17">
        <v>5</v>
      </c>
      <c r="B7" s="15"/>
      <c r="C7" s="19"/>
      <c r="D7" s="19"/>
      <c r="E7" s="19"/>
      <c r="F7" s="19"/>
      <c r="G7" s="19"/>
      <c r="H7" s="19"/>
    </row>
    <row r="8" spans="1:8" x14ac:dyDescent="0.25">
      <c r="A8" s="17">
        <v>6</v>
      </c>
      <c r="B8" s="18"/>
      <c r="C8" s="19"/>
      <c r="D8" s="19"/>
      <c r="E8" s="19"/>
      <c r="F8" s="19"/>
      <c r="G8" s="19"/>
      <c r="H8" s="19"/>
    </row>
    <row r="9" spans="1:8" x14ac:dyDescent="0.25">
      <c r="A9" s="17">
        <v>7</v>
      </c>
      <c r="B9" s="15"/>
      <c r="C9" s="19"/>
      <c r="D9" s="19"/>
      <c r="E9" s="19"/>
      <c r="F9" s="19"/>
      <c r="G9" s="19"/>
      <c r="H9" s="19"/>
    </row>
    <row r="10" spans="1:8" x14ac:dyDescent="0.25">
      <c r="A10" s="17">
        <v>8</v>
      </c>
      <c r="B10" s="18"/>
      <c r="C10" s="19"/>
      <c r="D10" s="19"/>
      <c r="E10" s="19"/>
      <c r="F10" s="19"/>
      <c r="G10" s="19"/>
      <c r="H10" s="19"/>
    </row>
    <row r="11" spans="1:8" x14ac:dyDescent="0.25">
      <c r="A11" s="17">
        <v>9</v>
      </c>
      <c r="B11" s="15"/>
      <c r="C11" s="19"/>
      <c r="D11" s="19"/>
      <c r="E11" s="19"/>
      <c r="F11" s="19"/>
      <c r="G11" s="19"/>
      <c r="H11" s="19"/>
    </row>
    <row r="12" spans="1:8" x14ac:dyDescent="0.25">
      <c r="A12" s="17">
        <v>10</v>
      </c>
      <c r="B12" s="18"/>
      <c r="C12" s="19"/>
      <c r="D12" s="19"/>
      <c r="E12" s="19"/>
      <c r="F12" s="19"/>
      <c r="G12" s="19"/>
      <c r="H12" s="19"/>
    </row>
    <row r="13" spans="1:8" x14ac:dyDescent="0.25">
      <c r="A13" s="17">
        <v>11</v>
      </c>
      <c r="B13" s="15"/>
      <c r="C13" s="19"/>
      <c r="D13" s="19"/>
      <c r="E13" s="19"/>
      <c r="F13" s="19"/>
      <c r="G13" s="19"/>
      <c r="H13" s="19"/>
    </row>
    <row r="14" spans="1:8" x14ac:dyDescent="0.25">
      <c r="A14" s="17">
        <v>12</v>
      </c>
      <c r="B14" s="18"/>
      <c r="C14" s="19"/>
      <c r="D14" s="19"/>
      <c r="E14" s="19"/>
      <c r="F14" s="19"/>
      <c r="G14" s="19"/>
      <c r="H14" s="19"/>
    </row>
    <row r="15" spans="1:8" x14ac:dyDescent="0.25">
      <c r="A15" s="17">
        <v>13</v>
      </c>
      <c r="B15" s="15"/>
      <c r="C15" s="19"/>
      <c r="D15" s="19"/>
      <c r="E15" s="19"/>
      <c r="F15" s="19"/>
      <c r="G15" s="19"/>
      <c r="H15" s="19"/>
    </row>
    <row r="16" spans="1:8" x14ac:dyDescent="0.25">
      <c r="A16" s="17">
        <v>14</v>
      </c>
      <c r="B16" s="18"/>
      <c r="C16" s="19"/>
      <c r="D16" s="19"/>
      <c r="E16" s="19"/>
      <c r="F16" s="19"/>
      <c r="G16" s="19"/>
      <c r="H16" s="19"/>
    </row>
    <row r="17" spans="1:8" x14ac:dyDescent="0.25">
      <c r="A17" s="17">
        <v>15</v>
      </c>
      <c r="B17" s="15"/>
      <c r="C17" s="19"/>
      <c r="D17" s="19"/>
      <c r="E17" s="19"/>
      <c r="F17" s="19"/>
      <c r="G17" s="19"/>
      <c r="H17" s="19"/>
    </row>
    <row r="18" spans="1:8" x14ac:dyDescent="0.25">
      <c r="A18" s="17">
        <v>16</v>
      </c>
      <c r="B18" s="28"/>
      <c r="C18" s="27"/>
      <c r="D18" s="27"/>
      <c r="E18" s="27"/>
      <c r="F18" s="27"/>
      <c r="G18" s="27"/>
      <c r="H18" s="27"/>
    </row>
    <row r="19" spans="1:8" x14ac:dyDescent="0.25">
      <c r="A19" s="17">
        <v>17</v>
      </c>
      <c r="B19" s="28"/>
      <c r="C19" s="27"/>
      <c r="D19" s="27"/>
      <c r="E19" s="27"/>
      <c r="F19" s="27"/>
      <c r="G19" s="27"/>
      <c r="H19" s="27"/>
    </row>
    <row r="20" spans="1:8" x14ac:dyDescent="0.25">
      <c r="A20" s="17">
        <v>18</v>
      </c>
      <c r="B20" s="28"/>
      <c r="C20" s="27"/>
      <c r="D20" s="27"/>
      <c r="E20" s="27"/>
      <c r="F20" s="27"/>
      <c r="G20" s="27"/>
      <c r="H20" s="27"/>
    </row>
    <row r="21" spans="1:8" x14ac:dyDescent="0.25">
      <c r="A21" s="17">
        <v>19</v>
      </c>
      <c r="B21" s="28"/>
      <c r="C21" s="27"/>
      <c r="D21" s="27"/>
      <c r="E21" s="27"/>
      <c r="F21" s="27"/>
      <c r="G21" s="27"/>
      <c r="H21" s="27"/>
    </row>
    <row r="22" spans="1:8" x14ac:dyDescent="0.25">
      <c r="A22" s="17">
        <v>20</v>
      </c>
      <c r="B22" s="28"/>
      <c r="C22" s="27"/>
      <c r="D22" s="27"/>
      <c r="E22" s="27"/>
      <c r="F22" s="27"/>
      <c r="G22" s="27"/>
      <c r="H22" s="27"/>
    </row>
  </sheetData>
  <mergeCells count="1">
    <mergeCell ref="A1:H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B0F7-C2C3-4741-9CDD-26D3C4AE6C84}">
  <dimension ref="A1:H22"/>
  <sheetViews>
    <sheetView topLeftCell="A5" zoomScale="130" zoomScaleNormal="130" workbookViewId="0">
      <selection activeCell="A17" sqref="A16:A22"/>
    </sheetView>
  </sheetViews>
  <sheetFormatPr defaultRowHeight="21" x14ac:dyDescent="0.35"/>
  <cols>
    <col min="1" max="1" width="12.42578125" style="13" customWidth="1"/>
    <col min="2" max="2" width="13" style="13" bestFit="1" customWidth="1"/>
    <col min="3" max="3" width="15.85546875" style="1" customWidth="1"/>
    <col min="4" max="5" width="13.7109375" style="1" customWidth="1"/>
    <col min="6" max="6" width="11" style="1" customWidth="1"/>
    <col min="7" max="7" width="13.7109375" style="1" customWidth="1"/>
    <col min="8" max="8" width="13.7109375" customWidth="1"/>
  </cols>
  <sheetData>
    <row r="1" spans="1:8" ht="28.5" x14ac:dyDescent="0.45">
      <c r="A1" s="20" t="s">
        <v>34</v>
      </c>
      <c r="B1" s="20"/>
      <c r="C1" s="20"/>
      <c r="D1" s="20"/>
      <c r="E1" s="20"/>
      <c r="F1" s="20"/>
      <c r="G1" s="20"/>
      <c r="H1" s="20"/>
    </row>
    <row r="2" spans="1:8" s="2" customFormat="1" ht="36.75" customHeight="1" x14ac:dyDescent="0.35">
      <c r="A2" s="12" t="s">
        <v>1</v>
      </c>
      <c r="B2" s="12" t="s">
        <v>12</v>
      </c>
      <c r="C2" s="16" t="s">
        <v>14</v>
      </c>
      <c r="D2" s="16" t="s">
        <v>15</v>
      </c>
      <c r="E2" s="16" t="s">
        <v>16</v>
      </c>
      <c r="F2" s="16" t="s">
        <v>36</v>
      </c>
      <c r="G2" s="16" t="s">
        <v>13</v>
      </c>
      <c r="H2" s="16" t="s">
        <v>17</v>
      </c>
    </row>
    <row r="3" spans="1:8" s="3" customFormat="1" x14ac:dyDescent="0.25">
      <c r="A3" s="17">
        <v>1</v>
      </c>
      <c r="B3" s="15"/>
      <c r="C3" s="19"/>
      <c r="D3" s="19"/>
      <c r="E3" s="19"/>
      <c r="F3" s="19"/>
      <c r="G3" s="19"/>
      <c r="H3" s="19"/>
    </row>
    <row r="4" spans="1:8" s="3" customFormat="1" x14ac:dyDescent="0.25">
      <c r="A4" s="17">
        <v>2</v>
      </c>
      <c r="B4" s="18"/>
      <c r="C4" s="19"/>
      <c r="D4" s="19"/>
      <c r="E4" s="19"/>
      <c r="F4" s="19"/>
      <c r="G4" s="19"/>
      <c r="H4" s="19"/>
    </row>
    <row r="5" spans="1:8" s="3" customFormat="1" x14ac:dyDescent="0.25">
      <c r="A5" s="17">
        <v>3</v>
      </c>
      <c r="B5" s="15"/>
      <c r="C5" s="19"/>
      <c r="D5" s="19"/>
      <c r="E5" s="19"/>
      <c r="F5" s="19"/>
      <c r="G5" s="19"/>
      <c r="H5" s="19"/>
    </row>
    <row r="6" spans="1:8" s="3" customFormat="1" x14ac:dyDescent="0.25">
      <c r="A6" s="17">
        <v>4</v>
      </c>
      <c r="B6" s="18"/>
      <c r="C6" s="19"/>
      <c r="D6" s="19"/>
      <c r="E6" s="19"/>
      <c r="F6" s="19"/>
      <c r="G6" s="19"/>
      <c r="H6" s="19"/>
    </row>
    <row r="7" spans="1:8" s="3" customFormat="1" x14ac:dyDescent="0.25">
      <c r="A7" s="17">
        <v>5</v>
      </c>
      <c r="B7" s="15"/>
      <c r="C7" s="19"/>
      <c r="D7" s="19"/>
      <c r="E7" s="19"/>
      <c r="F7" s="19"/>
      <c r="G7" s="19"/>
      <c r="H7" s="19"/>
    </row>
    <row r="8" spans="1:8" x14ac:dyDescent="0.25">
      <c r="A8" s="17">
        <v>6</v>
      </c>
      <c r="B8" s="18"/>
      <c r="C8" s="19"/>
      <c r="D8" s="19"/>
      <c r="E8" s="19"/>
      <c r="F8" s="19"/>
      <c r="G8" s="19"/>
      <c r="H8" s="19"/>
    </row>
    <row r="9" spans="1:8" x14ac:dyDescent="0.25">
      <c r="A9" s="17">
        <v>7</v>
      </c>
      <c r="B9" s="15"/>
      <c r="C9" s="19"/>
      <c r="D9" s="19"/>
      <c r="E9" s="19"/>
      <c r="F9" s="19"/>
      <c r="G9" s="19"/>
      <c r="H9" s="19"/>
    </row>
    <row r="10" spans="1:8" x14ac:dyDescent="0.25">
      <c r="A10" s="17">
        <v>8</v>
      </c>
      <c r="B10" s="18"/>
      <c r="C10" s="19"/>
      <c r="D10" s="19"/>
      <c r="E10" s="19"/>
      <c r="F10" s="19"/>
      <c r="G10" s="19"/>
      <c r="H10" s="19"/>
    </row>
    <row r="11" spans="1:8" x14ac:dyDescent="0.25">
      <c r="A11" s="17">
        <v>9</v>
      </c>
      <c r="B11" s="15"/>
      <c r="C11" s="19"/>
      <c r="D11" s="19"/>
      <c r="E11" s="19"/>
      <c r="F11" s="19"/>
      <c r="G11" s="19"/>
      <c r="H11" s="19"/>
    </row>
    <row r="12" spans="1:8" x14ac:dyDescent="0.25">
      <c r="A12" s="17">
        <v>10</v>
      </c>
      <c r="B12" s="18"/>
      <c r="C12" s="19"/>
      <c r="D12" s="19"/>
      <c r="E12" s="19"/>
      <c r="F12" s="19"/>
      <c r="G12" s="19"/>
      <c r="H12" s="19"/>
    </row>
    <row r="13" spans="1:8" x14ac:dyDescent="0.25">
      <c r="A13" s="17">
        <v>11</v>
      </c>
      <c r="B13" s="15"/>
      <c r="C13" s="19"/>
      <c r="D13" s="19"/>
      <c r="E13" s="19"/>
      <c r="F13" s="19"/>
      <c r="G13" s="19"/>
      <c r="H13" s="19"/>
    </row>
    <row r="14" spans="1:8" x14ac:dyDescent="0.25">
      <c r="A14" s="17">
        <v>12</v>
      </c>
      <c r="B14" s="18"/>
      <c r="C14" s="19"/>
      <c r="D14" s="19"/>
      <c r="E14" s="19"/>
      <c r="F14" s="19"/>
      <c r="G14" s="19"/>
      <c r="H14" s="19"/>
    </row>
    <row r="15" spans="1:8" x14ac:dyDescent="0.25">
      <c r="A15" s="17">
        <v>13</v>
      </c>
      <c r="B15" s="15"/>
      <c r="C15" s="19"/>
      <c r="D15" s="19"/>
      <c r="E15" s="19"/>
      <c r="F15" s="19"/>
      <c r="G15" s="19"/>
      <c r="H15" s="19"/>
    </row>
    <row r="16" spans="1:8" x14ac:dyDescent="0.25">
      <c r="A16" s="17">
        <v>14</v>
      </c>
      <c r="B16" s="18"/>
      <c r="C16" s="19"/>
      <c r="D16" s="19"/>
      <c r="E16" s="19"/>
      <c r="F16" s="19"/>
      <c r="G16" s="19"/>
      <c r="H16" s="19"/>
    </row>
    <row r="17" spans="1:8" x14ac:dyDescent="0.25">
      <c r="A17" s="17">
        <v>15</v>
      </c>
      <c r="B17" s="15"/>
      <c r="C17" s="19"/>
      <c r="D17" s="19"/>
      <c r="E17" s="19"/>
      <c r="F17" s="19"/>
      <c r="G17" s="19"/>
      <c r="H17" s="19"/>
    </row>
    <row r="18" spans="1:8" x14ac:dyDescent="0.25">
      <c r="A18" s="17">
        <v>16</v>
      </c>
      <c r="B18" s="28"/>
      <c r="C18" s="27"/>
      <c r="D18" s="27"/>
      <c r="E18" s="27"/>
      <c r="F18" s="27"/>
      <c r="G18" s="27"/>
      <c r="H18" s="27"/>
    </row>
    <row r="19" spans="1:8" x14ac:dyDescent="0.25">
      <c r="A19" s="17">
        <v>17</v>
      </c>
      <c r="B19" s="28"/>
      <c r="C19" s="27"/>
      <c r="D19" s="27"/>
      <c r="E19" s="27"/>
      <c r="F19" s="27"/>
      <c r="G19" s="27"/>
      <c r="H19" s="27"/>
    </row>
    <row r="20" spans="1:8" x14ac:dyDescent="0.25">
      <c r="A20" s="17">
        <v>18</v>
      </c>
      <c r="B20" s="28"/>
      <c r="C20" s="27"/>
      <c r="D20" s="27"/>
      <c r="E20" s="27"/>
      <c r="F20" s="27"/>
      <c r="G20" s="27"/>
      <c r="H20" s="27"/>
    </row>
    <row r="21" spans="1:8" x14ac:dyDescent="0.25">
      <c r="A21" s="17">
        <v>19</v>
      </c>
      <c r="B21" s="28"/>
      <c r="C21" s="27"/>
      <c r="D21" s="27"/>
      <c r="E21" s="27"/>
      <c r="F21" s="27"/>
      <c r="G21" s="27"/>
      <c r="H21" s="27"/>
    </row>
    <row r="22" spans="1:8" x14ac:dyDescent="0.25">
      <c r="A22" s="17">
        <v>20</v>
      </c>
      <c r="B22" s="28"/>
      <c r="C22" s="27"/>
      <c r="D22" s="27"/>
      <c r="E22" s="27"/>
      <c r="F22" s="27"/>
      <c r="G22" s="27"/>
      <c r="H22" s="27"/>
    </row>
  </sheetData>
  <mergeCells count="1">
    <mergeCell ref="A1:H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B946F-80A3-4033-AA2A-7F3DC6873F9D}">
  <dimension ref="A1:H22"/>
  <sheetViews>
    <sheetView topLeftCell="A8" zoomScale="130" zoomScaleNormal="130" workbookViewId="0">
      <selection activeCell="K17" sqref="K17"/>
    </sheetView>
  </sheetViews>
  <sheetFormatPr defaultRowHeight="21" x14ac:dyDescent="0.35"/>
  <cols>
    <col min="1" max="1" width="12.42578125" style="13" customWidth="1"/>
    <col min="2" max="2" width="13" style="13" bestFit="1" customWidth="1"/>
    <col min="3" max="3" width="15.85546875" style="1" customWidth="1"/>
    <col min="4" max="5" width="13.7109375" style="1" customWidth="1"/>
    <col min="6" max="6" width="11" style="1" customWidth="1"/>
    <col min="7" max="7" width="13.7109375" style="1" customWidth="1"/>
    <col min="8" max="8" width="13.7109375" customWidth="1"/>
  </cols>
  <sheetData>
    <row r="1" spans="1:8" ht="28.5" x14ac:dyDescent="0.45">
      <c r="A1" s="20" t="s">
        <v>34</v>
      </c>
      <c r="B1" s="20"/>
      <c r="C1" s="20"/>
      <c r="D1" s="20"/>
      <c r="E1" s="20"/>
      <c r="F1" s="20"/>
      <c r="G1" s="20"/>
      <c r="H1" s="20"/>
    </row>
    <row r="2" spans="1:8" s="2" customFormat="1" ht="36.75" customHeight="1" x14ac:dyDescent="0.35">
      <c r="A2" s="12" t="s">
        <v>1</v>
      </c>
      <c r="B2" s="12" t="s">
        <v>12</v>
      </c>
      <c r="C2" s="16" t="s">
        <v>14</v>
      </c>
      <c r="D2" s="16" t="s">
        <v>15</v>
      </c>
      <c r="E2" s="16" t="s">
        <v>16</v>
      </c>
      <c r="F2" s="16" t="s">
        <v>36</v>
      </c>
      <c r="G2" s="16" t="s">
        <v>13</v>
      </c>
      <c r="H2" s="16" t="s">
        <v>17</v>
      </c>
    </row>
    <row r="3" spans="1:8" s="3" customFormat="1" x14ac:dyDescent="0.25">
      <c r="A3" s="17">
        <v>1</v>
      </c>
      <c r="B3" s="15"/>
      <c r="C3" s="19"/>
      <c r="D3" s="19"/>
      <c r="E3" s="19"/>
      <c r="F3" s="19"/>
      <c r="G3" s="19"/>
      <c r="H3" s="19"/>
    </row>
    <row r="4" spans="1:8" s="3" customFormat="1" x14ac:dyDescent="0.25">
      <c r="A4" s="17">
        <v>2</v>
      </c>
      <c r="B4" s="18"/>
      <c r="C4" s="19"/>
      <c r="D4" s="19"/>
      <c r="E4" s="19"/>
      <c r="F4" s="19"/>
      <c r="G4" s="19"/>
      <c r="H4" s="19"/>
    </row>
    <row r="5" spans="1:8" s="3" customFormat="1" x14ac:dyDescent="0.25">
      <c r="A5" s="17">
        <v>3</v>
      </c>
      <c r="B5" s="15"/>
      <c r="C5" s="19"/>
      <c r="D5" s="19"/>
      <c r="E5" s="19"/>
      <c r="F5" s="19"/>
      <c r="G5" s="19"/>
      <c r="H5" s="19"/>
    </row>
    <row r="6" spans="1:8" s="3" customFormat="1" x14ac:dyDescent="0.25">
      <c r="A6" s="17">
        <v>4</v>
      </c>
      <c r="B6" s="18"/>
      <c r="C6" s="19"/>
      <c r="D6" s="19"/>
      <c r="E6" s="19"/>
      <c r="F6" s="19"/>
      <c r="G6" s="19"/>
      <c r="H6" s="19"/>
    </row>
    <row r="7" spans="1:8" s="3" customFormat="1" x14ac:dyDescent="0.25">
      <c r="A7" s="17">
        <v>5</v>
      </c>
      <c r="B7" s="15"/>
      <c r="C7" s="19"/>
      <c r="D7" s="19"/>
      <c r="E7" s="19"/>
      <c r="F7" s="19"/>
      <c r="G7" s="19"/>
      <c r="H7" s="19"/>
    </row>
    <row r="8" spans="1:8" x14ac:dyDescent="0.25">
      <c r="A8" s="17">
        <v>6</v>
      </c>
      <c r="B8" s="18"/>
      <c r="C8" s="19"/>
      <c r="D8" s="19"/>
      <c r="E8" s="19"/>
      <c r="F8" s="19"/>
      <c r="G8" s="19"/>
      <c r="H8" s="19"/>
    </row>
    <row r="9" spans="1:8" x14ac:dyDescent="0.25">
      <c r="A9" s="17">
        <v>7</v>
      </c>
      <c r="B9" s="15"/>
      <c r="C9" s="19"/>
      <c r="D9" s="19"/>
      <c r="E9" s="19"/>
      <c r="F9" s="19"/>
      <c r="G9" s="19"/>
      <c r="H9" s="19"/>
    </row>
    <row r="10" spans="1:8" x14ac:dyDescent="0.25">
      <c r="A10" s="17">
        <v>8</v>
      </c>
      <c r="B10" s="18"/>
      <c r="C10" s="19"/>
      <c r="D10" s="19"/>
      <c r="E10" s="19"/>
      <c r="F10" s="19"/>
      <c r="G10" s="19"/>
      <c r="H10" s="19"/>
    </row>
    <row r="11" spans="1:8" x14ac:dyDescent="0.25">
      <c r="A11" s="17">
        <v>9</v>
      </c>
      <c r="B11" s="15"/>
      <c r="C11" s="19"/>
      <c r="D11" s="19"/>
      <c r="E11" s="19"/>
      <c r="F11" s="19"/>
      <c r="G11" s="19"/>
      <c r="H11" s="19"/>
    </row>
    <row r="12" spans="1:8" x14ac:dyDescent="0.25">
      <c r="A12" s="17">
        <v>10</v>
      </c>
      <c r="B12" s="18"/>
      <c r="C12" s="19"/>
      <c r="D12" s="19"/>
      <c r="E12" s="19"/>
      <c r="F12" s="19"/>
      <c r="G12" s="19"/>
      <c r="H12" s="19"/>
    </row>
    <row r="13" spans="1:8" x14ac:dyDescent="0.25">
      <c r="A13" s="17">
        <v>11</v>
      </c>
      <c r="B13" s="15"/>
      <c r="C13" s="19"/>
      <c r="D13" s="19"/>
      <c r="E13" s="19"/>
      <c r="F13" s="19"/>
      <c r="G13" s="19"/>
      <c r="H13" s="19"/>
    </row>
    <row r="14" spans="1:8" x14ac:dyDescent="0.25">
      <c r="A14" s="17">
        <v>12</v>
      </c>
      <c r="B14" s="18"/>
      <c r="C14" s="19"/>
      <c r="D14" s="19"/>
      <c r="E14" s="19"/>
      <c r="F14" s="19"/>
      <c r="G14" s="19"/>
      <c r="H14" s="19"/>
    </row>
    <row r="15" spans="1:8" x14ac:dyDescent="0.25">
      <c r="A15" s="17">
        <v>13</v>
      </c>
      <c r="B15" s="15"/>
      <c r="C15" s="19"/>
      <c r="D15" s="19"/>
      <c r="E15" s="19"/>
      <c r="F15" s="19"/>
      <c r="G15" s="19"/>
      <c r="H15" s="19"/>
    </row>
    <row r="16" spans="1:8" x14ac:dyDescent="0.25">
      <c r="A16" s="17">
        <v>14</v>
      </c>
      <c r="B16" s="18"/>
      <c r="C16" s="19"/>
      <c r="D16" s="19"/>
      <c r="E16" s="19"/>
      <c r="F16" s="19"/>
      <c r="G16" s="19"/>
      <c r="H16" s="19"/>
    </row>
    <row r="17" spans="1:8" x14ac:dyDescent="0.25">
      <c r="A17" s="17">
        <v>15</v>
      </c>
      <c r="B17" s="15"/>
      <c r="C17" s="19"/>
      <c r="D17" s="19"/>
      <c r="E17" s="19"/>
      <c r="F17" s="19"/>
      <c r="G17" s="19"/>
      <c r="H17" s="19"/>
    </row>
    <row r="18" spans="1:8" x14ac:dyDescent="0.25">
      <c r="A18" s="17">
        <v>16</v>
      </c>
      <c r="B18" s="28"/>
      <c r="C18" s="27"/>
      <c r="D18" s="27"/>
      <c r="E18" s="27"/>
      <c r="F18" s="27"/>
      <c r="G18" s="27"/>
      <c r="H18" s="27"/>
    </row>
    <row r="19" spans="1:8" x14ac:dyDescent="0.25">
      <c r="A19" s="17">
        <v>17</v>
      </c>
      <c r="B19" s="28"/>
      <c r="C19" s="27"/>
      <c r="D19" s="27"/>
      <c r="E19" s="27"/>
      <c r="F19" s="27"/>
      <c r="G19" s="27"/>
      <c r="H19" s="27"/>
    </row>
    <row r="20" spans="1:8" x14ac:dyDescent="0.25">
      <c r="A20" s="17">
        <v>18</v>
      </c>
      <c r="B20" s="28"/>
      <c r="C20" s="27"/>
      <c r="D20" s="27"/>
      <c r="E20" s="27"/>
      <c r="F20" s="27"/>
      <c r="G20" s="27"/>
      <c r="H20" s="27"/>
    </row>
    <row r="21" spans="1:8" x14ac:dyDescent="0.25">
      <c r="A21" s="17">
        <v>19</v>
      </c>
      <c r="B21" s="28"/>
      <c r="C21" s="27"/>
      <c r="D21" s="27"/>
      <c r="E21" s="27"/>
      <c r="F21" s="27"/>
      <c r="G21" s="27"/>
      <c r="H21" s="27"/>
    </row>
    <row r="22" spans="1:8" x14ac:dyDescent="0.25">
      <c r="A22" s="17">
        <v>20</v>
      </c>
      <c r="B22" s="28"/>
      <c r="C22" s="27"/>
      <c r="D22" s="27"/>
      <c r="E22" s="27"/>
      <c r="F22" s="27"/>
      <c r="G22" s="27"/>
      <c r="H22" s="27"/>
    </row>
  </sheetData>
  <mergeCells count="1">
    <mergeCell ref="A1:H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3E1D4-551D-4F68-B6CE-BF98A22343DB}">
  <dimension ref="A1:H17"/>
  <sheetViews>
    <sheetView zoomScale="130" zoomScaleNormal="130" workbookViewId="0">
      <selection activeCell="B3" sqref="B3:H17"/>
    </sheetView>
  </sheetViews>
  <sheetFormatPr defaultRowHeight="21" x14ac:dyDescent="0.35"/>
  <cols>
    <col min="1" max="1" width="12.42578125" style="13" customWidth="1"/>
    <col min="2" max="2" width="13" style="13" bestFit="1" customWidth="1"/>
    <col min="3" max="3" width="15.85546875" style="1" customWidth="1"/>
    <col min="4" max="5" width="13.7109375" style="1" customWidth="1"/>
    <col min="6" max="6" width="11" style="1" customWidth="1"/>
    <col min="7" max="7" width="13.7109375" style="1" customWidth="1"/>
    <col min="8" max="8" width="13.7109375" customWidth="1"/>
  </cols>
  <sheetData>
    <row r="1" spans="1:8" ht="28.5" x14ac:dyDescent="0.45">
      <c r="A1" s="20" t="s">
        <v>35</v>
      </c>
      <c r="B1" s="20"/>
      <c r="C1" s="20"/>
      <c r="D1" s="20"/>
      <c r="E1" s="20"/>
      <c r="F1" s="20"/>
      <c r="G1" s="20"/>
      <c r="H1" s="20"/>
    </row>
    <row r="2" spans="1:8" s="2" customFormat="1" ht="36.75" customHeight="1" x14ac:dyDescent="0.35">
      <c r="A2" s="12" t="s">
        <v>1</v>
      </c>
      <c r="B2" s="12" t="s">
        <v>12</v>
      </c>
      <c r="C2" s="16" t="s">
        <v>14</v>
      </c>
      <c r="D2" s="16" t="s">
        <v>15</v>
      </c>
      <c r="E2" s="16" t="s">
        <v>16</v>
      </c>
      <c r="F2" s="16" t="s">
        <v>36</v>
      </c>
      <c r="G2" s="16" t="s">
        <v>13</v>
      </c>
      <c r="H2" s="16" t="s">
        <v>17</v>
      </c>
    </row>
    <row r="3" spans="1:8" s="3" customFormat="1" x14ac:dyDescent="0.25">
      <c r="A3" s="17">
        <v>1</v>
      </c>
      <c r="B3" s="15" t="s">
        <v>19</v>
      </c>
      <c r="C3" s="19">
        <v>4</v>
      </c>
      <c r="D3" s="19">
        <v>9</v>
      </c>
      <c r="E3" s="19">
        <v>3</v>
      </c>
      <c r="F3" s="19">
        <v>2</v>
      </c>
      <c r="G3" s="19">
        <v>10</v>
      </c>
      <c r="H3" s="19">
        <v>10</v>
      </c>
    </row>
    <row r="4" spans="1:8" s="3" customFormat="1" x14ac:dyDescent="0.25">
      <c r="A4" s="17">
        <v>2</v>
      </c>
      <c r="B4" s="18" t="s">
        <v>20</v>
      </c>
      <c r="C4" s="19">
        <v>8</v>
      </c>
      <c r="D4" s="19">
        <v>5</v>
      </c>
      <c r="E4" s="19">
        <v>7</v>
      </c>
      <c r="F4" s="19">
        <v>6</v>
      </c>
      <c r="G4" s="19">
        <v>10</v>
      </c>
      <c r="H4" s="19">
        <v>4</v>
      </c>
    </row>
    <row r="5" spans="1:8" s="3" customFormat="1" x14ac:dyDescent="0.25">
      <c r="A5" s="17">
        <v>3</v>
      </c>
      <c r="B5" s="15" t="s">
        <v>21</v>
      </c>
      <c r="C5" s="19">
        <v>4</v>
      </c>
      <c r="D5" s="19">
        <v>2</v>
      </c>
      <c r="E5" s="19">
        <v>9</v>
      </c>
      <c r="F5" s="19">
        <v>2</v>
      </c>
      <c r="G5" s="19">
        <v>7</v>
      </c>
      <c r="H5" s="19">
        <v>7</v>
      </c>
    </row>
    <row r="6" spans="1:8" s="3" customFormat="1" x14ac:dyDescent="0.25">
      <c r="A6" s="17">
        <v>4</v>
      </c>
      <c r="B6" s="18" t="s">
        <v>22</v>
      </c>
      <c r="C6" s="19">
        <v>7</v>
      </c>
      <c r="D6" s="19">
        <v>2</v>
      </c>
      <c r="E6" s="19">
        <v>3</v>
      </c>
      <c r="F6" s="19">
        <v>2</v>
      </c>
      <c r="G6" s="19">
        <v>5</v>
      </c>
      <c r="H6" s="19">
        <v>2</v>
      </c>
    </row>
    <row r="7" spans="1:8" s="3" customFormat="1" x14ac:dyDescent="0.25">
      <c r="A7" s="17">
        <v>5</v>
      </c>
      <c r="B7" s="15" t="s">
        <v>23</v>
      </c>
      <c r="C7" s="19">
        <v>7</v>
      </c>
      <c r="D7" s="19">
        <v>5</v>
      </c>
      <c r="E7" s="19">
        <v>6</v>
      </c>
      <c r="F7" s="19">
        <v>7</v>
      </c>
      <c r="G7" s="19">
        <v>5</v>
      </c>
      <c r="H7" s="19">
        <v>6</v>
      </c>
    </row>
    <row r="8" spans="1:8" x14ac:dyDescent="0.25">
      <c r="A8" s="17">
        <v>6</v>
      </c>
      <c r="B8" s="18" t="s">
        <v>24</v>
      </c>
      <c r="C8" s="19">
        <v>2</v>
      </c>
      <c r="D8" s="19">
        <v>4</v>
      </c>
      <c r="E8" s="19">
        <v>4</v>
      </c>
      <c r="F8" s="19">
        <v>8</v>
      </c>
      <c r="G8" s="19">
        <v>6</v>
      </c>
      <c r="H8" s="19">
        <v>6</v>
      </c>
    </row>
    <row r="9" spans="1:8" x14ac:dyDescent="0.25">
      <c r="A9" s="17">
        <v>7</v>
      </c>
      <c r="B9" s="15" t="s">
        <v>25</v>
      </c>
      <c r="C9" s="19">
        <v>9</v>
      </c>
      <c r="D9" s="19">
        <v>3</v>
      </c>
      <c r="E9" s="19">
        <v>9</v>
      </c>
      <c r="F9" s="19">
        <v>10</v>
      </c>
      <c r="G9" s="19">
        <v>4</v>
      </c>
      <c r="H9" s="19">
        <v>8</v>
      </c>
    </row>
    <row r="10" spans="1:8" x14ac:dyDescent="0.25">
      <c r="A10" s="17">
        <v>8</v>
      </c>
      <c r="B10" s="18" t="s">
        <v>26</v>
      </c>
      <c r="C10" s="19">
        <v>8</v>
      </c>
      <c r="D10" s="19">
        <v>7</v>
      </c>
      <c r="E10" s="19">
        <v>7</v>
      </c>
      <c r="F10" s="19">
        <v>2</v>
      </c>
      <c r="G10" s="19">
        <v>7</v>
      </c>
      <c r="H10" s="19">
        <v>10</v>
      </c>
    </row>
    <row r="11" spans="1:8" x14ac:dyDescent="0.25">
      <c r="A11" s="17">
        <v>9</v>
      </c>
      <c r="B11" s="15" t="s">
        <v>27</v>
      </c>
      <c r="C11" s="19">
        <v>8</v>
      </c>
      <c r="D11" s="19">
        <v>2</v>
      </c>
      <c r="E11" s="19">
        <v>10</v>
      </c>
      <c r="F11" s="19">
        <v>4</v>
      </c>
      <c r="G11" s="19">
        <v>10</v>
      </c>
      <c r="H11" s="19">
        <v>8</v>
      </c>
    </row>
    <row r="12" spans="1:8" x14ac:dyDescent="0.25">
      <c r="A12" s="17">
        <v>10</v>
      </c>
      <c r="B12" s="18" t="s">
        <v>28</v>
      </c>
      <c r="C12" s="19">
        <v>6</v>
      </c>
      <c r="D12" s="19">
        <v>2</v>
      </c>
      <c r="E12" s="19">
        <v>2</v>
      </c>
      <c r="F12" s="19">
        <v>9</v>
      </c>
      <c r="G12" s="19">
        <v>2</v>
      </c>
      <c r="H12" s="19">
        <v>5</v>
      </c>
    </row>
    <row r="13" spans="1:8" x14ac:dyDescent="0.25">
      <c r="A13" s="17">
        <v>11</v>
      </c>
      <c r="B13" s="15" t="s">
        <v>29</v>
      </c>
      <c r="C13" s="19">
        <v>5</v>
      </c>
      <c r="D13" s="19">
        <v>6</v>
      </c>
      <c r="E13" s="19">
        <v>8</v>
      </c>
      <c r="F13" s="19">
        <v>8</v>
      </c>
      <c r="G13" s="19">
        <v>8</v>
      </c>
      <c r="H13" s="19">
        <v>6</v>
      </c>
    </row>
    <row r="14" spans="1:8" x14ac:dyDescent="0.25">
      <c r="A14" s="17">
        <v>12</v>
      </c>
      <c r="B14" s="18" t="s">
        <v>30</v>
      </c>
      <c r="C14" s="19">
        <v>9</v>
      </c>
      <c r="D14" s="19">
        <v>3</v>
      </c>
      <c r="E14" s="19">
        <v>10</v>
      </c>
      <c r="F14" s="19">
        <v>6</v>
      </c>
      <c r="G14" s="19">
        <v>9</v>
      </c>
      <c r="H14" s="19">
        <v>6</v>
      </c>
    </row>
    <row r="15" spans="1:8" x14ac:dyDescent="0.25">
      <c r="A15" s="17">
        <v>13</v>
      </c>
      <c r="B15" s="15" t="s">
        <v>31</v>
      </c>
      <c r="C15" s="19">
        <v>6</v>
      </c>
      <c r="D15" s="19">
        <v>7</v>
      </c>
      <c r="E15" s="19">
        <v>4</v>
      </c>
      <c r="F15" s="19">
        <v>7</v>
      </c>
      <c r="G15" s="19">
        <v>2</v>
      </c>
      <c r="H15" s="19">
        <v>5</v>
      </c>
    </row>
    <row r="16" spans="1:8" x14ac:dyDescent="0.25">
      <c r="A16" s="17">
        <v>14</v>
      </c>
      <c r="B16" s="18" t="s">
        <v>32</v>
      </c>
      <c r="C16" s="19">
        <v>5</v>
      </c>
      <c r="D16" s="19">
        <v>4</v>
      </c>
      <c r="E16" s="19">
        <v>3</v>
      </c>
      <c r="F16" s="19">
        <v>7</v>
      </c>
      <c r="G16" s="19">
        <v>9</v>
      </c>
      <c r="H16" s="19">
        <v>4</v>
      </c>
    </row>
    <row r="17" spans="1:8" x14ac:dyDescent="0.25">
      <c r="A17" s="17">
        <v>15</v>
      </c>
      <c r="B17" s="15" t="s">
        <v>33</v>
      </c>
      <c r="C17" s="19">
        <v>9</v>
      </c>
      <c r="D17" s="19">
        <v>5</v>
      </c>
      <c r="E17" s="19">
        <v>2</v>
      </c>
      <c r="F17" s="19">
        <v>6</v>
      </c>
      <c r="G17" s="19">
        <v>5</v>
      </c>
      <c r="H17" s="19">
        <v>5</v>
      </c>
    </row>
  </sheetData>
  <mergeCells count="1">
    <mergeCell ref="A1:H1"/>
  </mergeCells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7EF8A-7A47-4992-AA36-C4791A4F4041}">
  <dimension ref="B3:D3"/>
  <sheetViews>
    <sheetView workbookViewId="0">
      <selection activeCell="G19" sqref="G19"/>
    </sheetView>
  </sheetViews>
  <sheetFormatPr defaultRowHeight="15" x14ac:dyDescent="0.25"/>
  <sheetData>
    <row r="3" spans="2:4" x14ac:dyDescent="0.25">
      <c r="B3" t="s">
        <v>18</v>
      </c>
      <c r="D3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062E74B2CBD54CAB8D4F4A5F89EFA9" ma:contentTypeVersion="18" ma:contentTypeDescription="Create a new document." ma:contentTypeScope="" ma:versionID="31534e9155416cb28852bbeb114ab47d">
  <xsd:schema xmlns:xsd="http://www.w3.org/2001/XMLSchema" xmlns:xs="http://www.w3.org/2001/XMLSchema" xmlns:p="http://schemas.microsoft.com/office/2006/metadata/properties" xmlns:ns1="http://schemas.microsoft.com/sharepoint/v3" xmlns:ns2="116c6fcb-3c65-4296-89fd-fcd88a94d3d4" xmlns:ns3="643f6e62-e185-490b-b009-7dd522c024f0" targetNamespace="http://schemas.microsoft.com/office/2006/metadata/properties" ma:root="true" ma:fieldsID="4b50135e01f82580b47c7ad1849a222b" ns1:_="" ns2:_="" ns3:_="">
    <xsd:import namespace="http://schemas.microsoft.com/sharepoint/v3"/>
    <xsd:import namespace="116c6fcb-3c65-4296-89fd-fcd88a94d3d4"/>
    <xsd:import namespace="643f6e62-e185-490b-b009-7dd522c024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c6fcb-3c65-4296-89fd-fcd88a94d3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3f6e62-e185-490b-b009-7dd522c024f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f13b59b-d5f1-4a98-a99a-92ad70552236}" ma:internalName="TaxCatchAll" ma:showField="CatchAllData" ma:web="643f6e62-e185-490b-b009-7dd522c024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43f6e62-e185-490b-b009-7dd522c024f0" xsi:nil="true"/>
    <_ip_UnifiedCompliancePolicyProperties xmlns="http://schemas.microsoft.com/sharepoint/v3" xsi:nil="true"/>
    <lcf76f155ced4ddcb4097134ff3c332f xmlns="116c6fcb-3c65-4296-89fd-fcd88a94d3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C81DD4-D59B-46F6-AC46-81EBC90F4A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16c6fcb-3c65-4296-89fd-fcd88a94d3d4"/>
    <ds:schemaRef ds:uri="643f6e62-e185-490b-b009-7dd522c024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BF3630-887D-4A4A-8122-7A0B79D6BA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105660-E25D-4535-911B-6A3468C29B9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43f6e62-e185-490b-b009-7dd522c024f0"/>
    <ds:schemaRef ds:uri="116c6fcb-3c65-4296-89fd-fcd88a94d3d4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Results</vt:lpstr>
      <vt:lpstr>Judge1</vt:lpstr>
      <vt:lpstr>Judge2</vt:lpstr>
      <vt:lpstr>Judge3</vt:lpstr>
      <vt:lpstr>Judge4</vt:lpstr>
      <vt:lpstr>Judge5</vt:lpstr>
      <vt:lpstr>Completed Sample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Lirette</dc:creator>
  <cp:keywords/>
  <dc:description/>
  <cp:lastModifiedBy>Reuel Ngo</cp:lastModifiedBy>
  <cp:revision/>
  <dcterms:created xsi:type="dcterms:W3CDTF">2025-03-17T17:40:55Z</dcterms:created>
  <dcterms:modified xsi:type="dcterms:W3CDTF">2026-09-20T10:27:44Z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0x010100DB062E74B2CBD54CAB8D4F4A5F89EFA9</vt:lpwstr>
  </property>
  <property fmtid="{D5CDD505-2E9C-101B-9397-08002B2CF9AE}" pid="3" name="MediaServiceImageTags">
    <vt:lpwstr/>
  </property>
</Properties>
</file>